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PACKING LIS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B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[$-14009]d\.m\.yy;@"/>
    <numFmt numFmtId="166" formatCode="&quot;₹&quot;\ #,##0.00"/>
  </numFmts>
  <fonts count="3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Arial"/>
      <family val="2"/>
      <sz val="10"/>
    </font>
    <font>
      <name val="Cambria"/>
      <family val="1"/>
      <sz val="11"/>
      <scheme val="major"/>
    </font>
    <font>
      <name val="Cambria"/>
      <family val="1"/>
      <color theme="1"/>
      <sz val="11"/>
      <scheme val="major"/>
    </font>
    <font>
      <name val="Arial"/>
      <family val="2"/>
      <color indexed="8"/>
      <sz val="10"/>
    </font>
    <font>
      <name val="Cambria"/>
      <family val="1"/>
      <b val="1"/>
      <color theme="1"/>
      <sz val="14"/>
      <scheme val="major"/>
    </font>
    <font>
      <name val="Cambria"/>
      <family val="1"/>
      <b val="1"/>
      <color theme="1"/>
      <sz val="9"/>
      <scheme val="major"/>
    </font>
    <font>
      <name val="Cambria"/>
      <family val="1"/>
      <b val="1"/>
      <sz val="12"/>
      <scheme val="major"/>
    </font>
    <font>
      <name val="Cambria"/>
      <family val="1"/>
      <sz val="12"/>
      <scheme val="major"/>
    </font>
    <font>
      <name val="Cambria"/>
      <family val="1"/>
      <b val="1"/>
      <color theme="1"/>
      <sz val="12"/>
      <scheme val="major"/>
    </font>
    <font>
      <name val="Cambria"/>
      <family val="1"/>
      <color rgb="FF000000"/>
      <sz val="11"/>
      <scheme val="major"/>
    </font>
    <font>
      <name val="Cambria"/>
      <family val="1"/>
      <b val="1"/>
      <color theme="1"/>
      <sz val="11"/>
      <scheme val="major"/>
    </font>
    <font>
      <name val="Cambria"/>
      <family val="1"/>
      <color rgb="FF000000"/>
      <sz val="10"/>
      <scheme val="major"/>
    </font>
    <font>
      <name val="Cambria"/>
      <family val="1"/>
      <b val="1"/>
      <sz val="9"/>
      <scheme val="major"/>
    </font>
    <font>
      <name val="Cambria"/>
      <family val="1"/>
      <b val="1"/>
      <sz val="10"/>
      <scheme val="major"/>
    </font>
    <font>
      <name val="Cambria"/>
      <family val="1"/>
      <sz val="9"/>
      <scheme val="major"/>
    </font>
    <font>
      <name val="Cambria"/>
      <family val="1"/>
      <color indexed="8"/>
      <sz val="9"/>
      <scheme val="major"/>
    </font>
    <font>
      <name val="Cambria"/>
      <family val="1"/>
      <color theme="1"/>
      <sz val="9"/>
      <scheme val="major"/>
    </font>
    <font>
      <name val="Cambria"/>
      <family val="1"/>
      <b val="1"/>
      <color theme="1"/>
      <sz val="10"/>
      <scheme val="major"/>
    </font>
    <font>
      <name val="Cambria"/>
      <family val="1"/>
      <sz val="9.5"/>
      <scheme val="major"/>
    </font>
    <font>
      <name val="Cambria"/>
      <family val="1"/>
      <b val="1"/>
      <sz val="11"/>
      <scheme val="major"/>
    </font>
    <font>
      <name val="Cambria"/>
      <family val="1"/>
      <b val="1"/>
      <color rgb="FF000000"/>
      <sz val="11"/>
      <scheme val="major"/>
    </font>
    <font>
      <name val="Cambria"/>
      <family val="1"/>
      <b val="1"/>
      <color rgb="FF070707"/>
      <sz val="12"/>
      <scheme val="major"/>
    </font>
    <font>
      <name val="Cambria"/>
      <family val="1"/>
      <color rgb="FF000000"/>
      <sz val="9"/>
      <scheme val="major"/>
    </font>
    <font>
      <name val="Cambria"/>
      <family val="1"/>
      <b val="1"/>
      <i val="1"/>
      <color theme="1"/>
      <sz val="9"/>
      <scheme val="major"/>
    </font>
    <font>
      <name val="Calibri"/>
      <family val="2"/>
      <sz val="8"/>
      <scheme val="minor"/>
    </font>
    <font>
      <name val="Cambria"/>
      <family val="1"/>
      <color rgb="FF000000"/>
      <sz val="12"/>
      <scheme val="major"/>
    </font>
    <font>
      <name val="Cambria"/>
      <family val="1"/>
      <color theme="1"/>
      <sz val="12"/>
      <scheme val="maj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4"/>
      <scheme val="minor"/>
    </font>
    <font>
      <name val="Times New Roman"/>
      <family val="1"/>
      <color rgb="FF000000"/>
      <sz val="12"/>
    </font>
    <font>
      <name val="Cambria"/>
      <family val="1"/>
      <b val="1"/>
      <color rgb="FF000000"/>
      <sz val="14"/>
      <scheme val="major"/>
    </font>
    <font>
      <name val="Cambria"/>
      <family val="1"/>
      <color theme="1"/>
      <sz val="10"/>
      <scheme val="maj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4" fillId="0" borderId="0" applyAlignment="1">
      <alignment vertical="top"/>
    </xf>
    <xf numFmtId="0" fontId="4" fillId="0" borderId="0"/>
    <xf numFmtId="0" fontId="7" fillId="0" borderId="0" applyAlignment="1">
      <alignment vertical="top"/>
    </xf>
    <xf numFmtId="165" fontId="1" fillId="0" borderId="0"/>
    <xf numFmtId="165" fontId="1" fillId="0" borderId="0"/>
    <xf numFmtId="165" fontId="1" fillId="0" borderId="0"/>
    <xf numFmtId="165" fontId="4" fillId="0" borderId="0"/>
    <xf numFmtId="0" fontId="3" fillId="0" borderId="0"/>
    <xf numFmtId="43" fontId="3" fillId="0" borderId="0"/>
    <xf numFmtId="0" fontId="3" fillId="0" borderId="0"/>
  </cellStyleXfs>
  <cellXfs count="328">
    <xf numFmtId="0" fontId="0" fillId="0" borderId="0" pivotButton="0" quotePrefix="0" xfId="0"/>
    <xf numFmtId="0" fontId="9" fillId="0" borderId="5" pivotButton="0" quotePrefix="0" xfId="11"/>
    <xf numFmtId="0" fontId="9" fillId="0" borderId="6" pivotButton="0" quotePrefix="0" xfId="11"/>
    <xf numFmtId="0" fontId="20" fillId="0" borderId="6" pivotButton="0" quotePrefix="0" xfId="11"/>
    <xf numFmtId="0" fontId="20" fillId="0" borderId="7" pivotButton="0" quotePrefix="0" xfId="11"/>
    <xf numFmtId="0" fontId="9" fillId="0" borderId="2" pivotButton="0" quotePrefix="0" xfId="11"/>
    <xf numFmtId="0" fontId="9" fillId="0" borderId="0" pivotButton="0" quotePrefix="0" xfId="11"/>
    <xf numFmtId="0" fontId="20" fillId="0" borderId="0" pivotButton="0" quotePrefix="0" xfId="11"/>
    <xf numFmtId="0" fontId="20" fillId="0" borderId="8" pivotButton="0" quotePrefix="0" xfId="11"/>
    <xf numFmtId="0" fontId="20" fillId="0" borderId="1" applyAlignment="1" pivotButton="0" quotePrefix="0" xfId="11">
      <alignment horizontal="center" vertical="top"/>
    </xf>
    <xf numFmtId="0" fontId="20" fillId="0" borderId="12" applyAlignment="1" pivotButton="0" quotePrefix="0" xfId="11">
      <alignment horizontal="center" vertical="top"/>
    </xf>
    <xf numFmtId="0" fontId="20" fillId="0" borderId="2" applyAlignment="1" pivotButton="0" quotePrefix="0" xfId="11">
      <alignment horizontal="center" vertical="center"/>
    </xf>
    <xf numFmtId="0" fontId="20" fillId="0" borderId="0" applyAlignment="1" pivotButton="0" quotePrefix="0" xfId="11">
      <alignment horizontal="center" vertical="center"/>
    </xf>
    <xf numFmtId="0" fontId="20" fillId="0" borderId="0" applyAlignment="1" pivotButton="0" quotePrefix="0" xfId="11">
      <alignment horizontal="center" vertical="top"/>
    </xf>
    <xf numFmtId="0" fontId="20" fillId="0" borderId="0" applyAlignment="1" pivotButton="0" quotePrefix="0" xfId="11">
      <alignment horizontal="left" vertical="center"/>
    </xf>
    <xf numFmtId="0" fontId="20" fillId="0" borderId="8" applyAlignment="1" pivotButton="0" quotePrefix="0" xfId="11">
      <alignment horizontal="left" vertical="center"/>
    </xf>
    <xf numFmtId="0" fontId="26" fillId="0" borderId="0" applyAlignment="1" pivotButton="0" quotePrefix="0" xfId="11">
      <alignment horizontal="left" vertical="center"/>
    </xf>
    <xf numFmtId="0" fontId="20" fillId="0" borderId="20" pivotButton="0" quotePrefix="0" xfId="11"/>
    <xf numFmtId="0" fontId="20" fillId="0" borderId="3" applyAlignment="1" pivotButton="0" quotePrefix="0" xfId="11">
      <alignment horizontal="left"/>
    </xf>
    <xf numFmtId="0" fontId="20" fillId="0" borderId="10" pivotButton="0" quotePrefix="0" xfId="11"/>
    <xf numFmtId="0" fontId="20" fillId="0" borderId="11" pivotButton="0" quotePrefix="0" xfId="11"/>
    <xf numFmtId="0" fontId="26" fillId="0" borderId="11" pivotButton="0" quotePrefix="0" xfId="11"/>
    <xf numFmtId="0" fontId="20" fillId="0" borderId="12" pivotButton="0" quotePrefix="0" xfId="11"/>
    <xf numFmtId="0" fontId="20" fillId="0" borderId="11" applyAlignment="1" pivotButton="0" quotePrefix="0" xfId="11">
      <alignment horizontal="left"/>
    </xf>
    <xf numFmtId="0" fontId="20" fillId="0" borderId="10" applyAlignment="1" pivotButton="0" quotePrefix="0" xfId="11">
      <alignment horizontal="left"/>
    </xf>
    <xf numFmtId="0" fontId="20" fillId="0" borderId="5" applyAlignment="1" pivotButton="0" quotePrefix="0" xfId="11">
      <alignment horizontal="left"/>
    </xf>
    <xf numFmtId="0" fontId="20" fillId="0" borderId="5" pivotButton="0" quotePrefix="0" xfId="11"/>
    <xf numFmtId="0" fontId="26" fillId="0" borderId="6" pivotButton="0" quotePrefix="0" xfId="11"/>
    <xf numFmtId="0" fontId="20" fillId="0" borderId="5" applyAlignment="1" pivotButton="0" quotePrefix="0" xfId="11">
      <alignment vertical="top"/>
    </xf>
    <xf numFmtId="0" fontId="20" fillId="0" borderId="6" applyAlignment="1" pivotButton="0" quotePrefix="0" xfId="11">
      <alignment vertical="top"/>
    </xf>
    <xf numFmtId="0" fontId="20" fillId="0" borderId="2" pivotButton="0" quotePrefix="0" xfId="11"/>
    <xf numFmtId="0" fontId="20" fillId="0" borderId="0" applyAlignment="1" pivotButton="0" quotePrefix="0" xfId="11">
      <alignment vertical="top"/>
    </xf>
    <xf numFmtId="0" fontId="20" fillId="0" borderId="1" applyAlignment="1" pivotButton="0" quotePrefix="0" xfId="11">
      <alignment horizontal="center" vertical="top" wrapText="1"/>
    </xf>
    <xf numFmtId="0" fontId="20" fillId="0" borderId="1" applyAlignment="1" pivotButton="0" quotePrefix="0" xfId="11">
      <alignment vertical="top"/>
    </xf>
    <xf numFmtId="0" fontId="20" fillId="0" borderId="1" applyAlignment="1" pivotButton="0" quotePrefix="0" xfId="11">
      <alignment vertical="center" wrapText="1"/>
    </xf>
    <xf numFmtId="0" fontId="20" fillId="0" borderId="1" applyAlignment="1" pivotButton="0" quotePrefix="0" xfId="11">
      <alignment vertical="center"/>
    </xf>
    <xf numFmtId="0" fontId="20" fillId="0" borderId="1" applyAlignment="1" pivotButton="0" quotePrefix="0" xfId="11">
      <alignment horizontal="center" vertical="center"/>
    </xf>
    <xf numFmtId="0" fontId="26" fillId="0" borderId="20" pivotButton="0" quotePrefix="0" xfId="11"/>
    <xf numFmtId="0" fontId="20" fillId="0" borderId="1" pivotButton="0" quotePrefix="0" xfId="11"/>
    <xf numFmtId="0" fontId="20" fillId="0" borderId="1" applyAlignment="1" pivotButton="0" quotePrefix="0" xfId="11">
      <alignment wrapText="1"/>
    </xf>
    <xf numFmtId="0" fontId="20" fillId="0" borderId="1" applyAlignment="1" pivotButton="0" quotePrefix="0" xfId="11">
      <alignment horizontal="center" vertical="center" wrapText="1"/>
    </xf>
    <xf numFmtId="0" fontId="20" fillId="0" borderId="1" applyAlignment="1" pivotButton="0" quotePrefix="0" xfId="11">
      <alignment horizontal="center"/>
    </xf>
    <xf numFmtId="0" fontId="20" fillId="0" borderId="1" applyAlignment="1" pivotButton="0" quotePrefix="0" xfId="11">
      <alignment horizontal="center" wrapText="1"/>
    </xf>
    <xf numFmtId="0" fontId="20" fillId="0" borderId="13" applyAlignment="1" pivotButton="0" quotePrefix="0" xfId="11">
      <alignment horizontal="center"/>
    </xf>
    <xf numFmtId="0" fontId="20" fillId="0" borderId="10" applyAlignment="1" pivotButton="0" quotePrefix="0" xfId="11">
      <alignment vertical="center"/>
    </xf>
    <xf numFmtId="0" fontId="20" fillId="0" borderId="12" applyAlignment="1" pivotButton="0" quotePrefix="0" xfId="11">
      <alignment vertical="center"/>
    </xf>
    <xf numFmtId="43" fontId="23" fillId="0" borderId="15" pivotButton="0" quotePrefix="0" xfId="10"/>
    <xf numFmtId="43" fontId="5" fillId="0" borderId="18" pivotButton="0" quotePrefix="0" xfId="10"/>
    <xf numFmtId="0" fontId="13" fillId="0" borderId="1" applyAlignment="1" pivotButton="0" quotePrefix="0" xfId="9">
      <alignment horizontal="center" vertical="center"/>
    </xf>
    <xf numFmtId="164" fontId="13" fillId="0" borderId="1" applyAlignment="1" pivotButton="0" quotePrefix="0" xfId="1">
      <alignment horizontal="center" vertical="center"/>
    </xf>
    <xf numFmtId="0" fontId="12" fillId="0" borderId="2" pivotButton="0" quotePrefix="0" xfId="1"/>
    <xf numFmtId="0" fontId="12" fillId="0" borderId="2" applyAlignment="1" pivotButton="0" quotePrefix="0" xfId="1">
      <alignment horizontal="left" vertical="top"/>
    </xf>
    <xf numFmtId="0" fontId="12" fillId="0" borderId="0" pivotButton="0" quotePrefix="0" xfId="1"/>
    <xf numFmtId="0" fontId="12" fillId="0" borderId="0" pivotButton="0" quotePrefix="0" xfId="0"/>
    <xf numFmtId="0" fontId="12" fillId="0" borderId="17" pivotButton="0" quotePrefix="0" xfId="1"/>
    <xf numFmtId="0" fontId="12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/>
    </xf>
    <xf numFmtId="49" fontId="14" fillId="0" borderId="14" pivotButton="0" quotePrefix="0" xfId="9"/>
    <xf numFmtId="49" fontId="14" fillId="0" borderId="0" pivotButton="0" quotePrefix="0" xfId="9"/>
    <xf numFmtId="49" fontId="14" fillId="0" borderId="21" pivotButton="0" quotePrefix="0" xfId="9"/>
    <xf numFmtId="0" fontId="10" fillId="0" borderId="34" pivotButton="0" quotePrefix="0" xfId="3"/>
    <xf numFmtId="165" fontId="10" fillId="0" borderId="32" pivotButton="0" quotePrefix="0" xfId="3"/>
    <xf numFmtId="165" fontId="10" fillId="0" borderId="30" pivotButton="0" quotePrefix="0" xfId="2"/>
    <xf numFmtId="165" fontId="11" fillId="0" borderId="30" pivotButton="0" quotePrefix="0" xfId="2"/>
    <xf numFmtId="0" fontId="12" fillId="0" borderId="30" pivotButton="0" quotePrefix="0" xfId="9"/>
    <xf numFmtId="49" fontId="14" fillId="0" borderId="30" pivotButton="0" quotePrefix="0" xfId="9"/>
    <xf numFmtId="49" fontId="14" fillId="0" borderId="23" pivotButton="0" quotePrefix="0" xfId="9"/>
    <xf numFmtId="49" fontId="14" fillId="0" borderId="24" pivotButton="0" quotePrefix="0" xfId="9"/>
    <xf numFmtId="0" fontId="10" fillId="0" borderId="6" pivotButton="0" quotePrefix="0" xfId="9"/>
    <xf numFmtId="49" fontId="14" fillId="0" borderId="36" pivotButton="0" quotePrefix="0" xfId="9"/>
    <xf numFmtId="49" fontId="14" fillId="0" borderId="15" pivotButton="0" quotePrefix="0" xfId="9"/>
    <xf numFmtId="0" fontId="11" fillId="0" borderId="0" pivotButton="0" quotePrefix="0" xfId="9"/>
    <xf numFmtId="0" fontId="12" fillId="0" borderId="0" pivotButton="0" quotePrefix="0" xfId="9"/>
    <xf numFmtId="49" fontId="14" fillId="0" borderId="34" pivotButton="0" quotePrefix="0" xfId="9"/>
    <xf numFmtId="49" fontId="14" fillId="0" borderId="6" pivotButton="0" quotePrefix="0" xfId="9"/>
    <xf numFmtId="49" fontId="14" fillId="0" borderId="28" pivotButton="0" quotePrefix="0" xfId="9"/>
    <xf numFmtId="0" fontId="16" fillId="0" borderId="14" pivotButton="0" quotePrefix="0" xfId="2"/>
    <xf numFmtId="49" fontId="14" fillId="0" borderId="37" pivotButton="0" quotePrefix="0" xfId="9"/>
    <xf numFmtId="49" fontId="14" fillId="0" borderId="4" pivotButton="0" quotePrefix="0" xfId="9"/>
    <xf numFmtId="49" fontId="14" fillId="0" borderId="38" pivotButton="0" quotePrefix="0" xfId="9"/>
    <xf numFmtId="0" fontId="10" fillId="0" borderId="10" pivotButton="0" quotePrefix="0" xfId="2"/>
    <xf numFmtId="0" fontId="15" fillId="0" borderId="11" pivotButton="0" quotePrefix="0" xfId="9"/>
    <xf numFmtId="49" fontId="14" fillId="0" borderId="11" pivotButton="0" quotePrefix="0" xfId="9"/>
    <xf numFmtId="49" fontId="14" fillId="0" borderId="12" pivotButton="0" quotePrefix="0" xfId="9"/>
    <xf numFmtId="0" fontId="14" fillId="0" borderId="35" applyAlignment="1" pivotButton="0" quotePrefix="0" xfId="9">
      <alignment horizontal="left" vertical="center"/>
    </xf>
    <xf numFmtId="0" fontId="12" fillId="0" borderId="0" applyAlignment="1" pivotButton="0" quotePrefix="0" xfId="9">
      <alignment wrapText="1"/>
    </xf>
    <xf numFmtId="0" fontId="17" fillId="0" borderId="43" applyAlignment="1" pivotButton="0" quotePrefix="0" xfId="9">
      <alignment horizontal="left" vertical="center"/>
    </xf>
    <xf numFmtId="49" fontId="14" fillId="0" borderId="8" pivotButton="0" quotePrefix="0" xfId="9"/>
    <xf numFmtId="0" fontId="14" fillId="0" borderId="31" applyAlignment="1" pivotButton="0" quotePrefix="0" xfId="9">
      <alignment horizontal="left" vertical="center"/>
    </xf>
    <xf numFmtId="0" fontId="12" fillId="0" borderId="17" pivotButton="0" quotePrefix="0" xfId="9"/>
    <xf numFmtId="0" fontId="12" fillId="0" borderId="17" applyAlignment="1" pivotButton="0" quotePrefix="0" xfId="9">
      <alignment wrapText="1"/>
    </xf>
    <xf numFmtId="49" fontId="14" fillId="0" borderId="17" pivotButton="0" quotePrefix="0" xfId="9"/>
    <xf numFmtId="49" fontId="14" fillId="0" borderId="42" pivotButton="0" quotePrefix="0" xfId="9"/>
    <xf numFmtId="0" fontId="16" fillId="0" borderId="37" pivotButton="0" quotePrefix="0" xfId="2"/>
    <xf numFmtId="0" fontId="14" fillId="0" borderId="4" pivotButton="0" quotePrefix="0" xfId="9"/>
    <xf numFmtId="49" fontId="14" fillId="0" borderId="9" pivotButton="0" quotePrefix="0" xfId="9"/>
    <xf numFmtId="49" fontId="14" fillId="0" borderId="22" pivotButton="0" quotePrefix="0" xfId="9"/>
    <xf numFmtId="49" fontId="14" fillId="0" borderId="10" pivotButton="0" quotePrefix="0" xfId="9"/>
    <xf numFmtId="0" fontId="16" fillId="0" borderId="34" pivotButton="0" quotePrefix="0" xfId="2"/>
    <xf numFmtId="0" fontId="12" fillId="0" borderId="6" pivotButton="0" quotePrefix="0" xfId="9"/>
    <xf numFmtId="49" fontId="14" fillId="0" borderId="7" pivotButton="0" quotePrefix="0" xfId="9"/>
    <xf numFmtId="0" fontId="16" fillId="0" borderId="0" pivotButton="0" quotePrefix="0" xfId="2"/>
    <xf numFmtId="49" fontId="14" fillId="0" borderId="3" pivotButton="0" quotePrefix="0" xfId="9"/>
    <xf numFmtId="49" fontId="14" fillId="0" borderId="39" pivotButton="0" quotePrefix="0" xfId="9"/>
    <xf numFmtId="0" fontId="6" fillId="0" borderId="1" applyAlignment="1" pivotButton="0" quotePrefix="0" xfId="9">
      <alignment horizontal="center" vertical="center"/>
    </xf>
    <xf numFmtId="0" fontId="0" fillId="0" borderId="0" applyAlignment="1" pivotButton="0" quotePrefix="0" xfId="0">
      <alignment vertical="center"/>
    </xf>
    <xf numFmtId="0" fontId="19" fillId="0" borderId="1" applyAlignment="1" pivotButton="0" quotePrefix="0" xfId="2">
      <alignment horizontal="center" wrapText="1"/>
    </xf>
    <xf numFmtId="49" fontId="8" fillId="0" borderId="1" applyAlignment="1" pivotButton="0" quotePrefix="0" xfId="9">
      <alignment horizontal="center"/>
    </xf>
    <xf numFmtId="49" fontId="20" fillId="0" borderId="1" pivotButton="0" quotePrefix="0" xfId="9"/>
    <xf numFmtId="1" fontId="8" fillId="0" borderId="1" applyAlignment="1" pivotButton="0" quotePrefix="0" xfId="9">
      <alignment horizontal="center" vertical="center"/>
    </xf>
    <xf numFmtId="49" fontId="9" fillId="0" borderId="1" pivotButton="0" quotePrefix="0" xfId="9"/>
    <xf numFmtId="0" fontId="21" fillId="0" borderId="1" applyAlignment="1" pivotButton="0" quotePrefix="0" xfId="9">
      <alignment horizontal="center" vertical="center"/>
    </xf>
    <xf numFmtId="49" fontId="15" fillId="0" borderId="1" applyAlignment="1" pivotButton="0" quotePrefix="0" xfId="9">
      <alignment horizontal="center"/>
    </xf>
    <xf numFmtId="0" fontId="15" fillId="0" borderId="0" applyAlignment="1" pivotButton="0" quotePrefix="0" xfId="9">
      <alignment horizontal="center"/>
    </xf>
    <xf numFmtId="0" fontId="23" fillId="0" borderId="14" pivotButton="0" quotePrefix="0" xfId="9"/>
    <xf numFmtId="0" fontId="5" fillId="0" borderId="0" applyAlignment="1" pivotButton="0" quotePrefix="0" xfId="2">
      <alignment horizontal="left"/>
    </xf>
    <xf numFmtId="49" fontId="13" fillId="0" borderId="0" pivotButton="0" quotePrefix="0" xfId="9"/>
    <xf numFmtId="0" fontId="13" fillId="0" borderId="0" applyAlignment="1" pivotButton="0" quotePrefix="0" xfId="9">
      <alignment horizontal="center"/>
    </xf>
    <xf numFmtId="49" fontId="13" fillId="0" borderId="2" pivotButton="0" quotePrefix="0" xfId="9"/>
    <xf numFmtId="49" fontId="13" fillId="0" borderId="15" pivotButton="0" quotePrefix="0" xfId="9"/>
    <xf numFmtId="49" fontId="24" fillId="0" borderId="0" pivotButton="0" quotePrefix="0" xfId="9"/>
    <xf numFmtId="1" fontId="5" fillId="0" borderId="0" applyAlignment="1" pivotButton="0" quotePrefix="0" xfId="2">
      <alignment horizontal="left"/>
    </xf>
    <xf numFmtId="49" fontId="13" fillId="0" borderId="0" applyAlignment="1" pivotButton="0" quotePrefix="0" xfId="9">
      <alignment horizontal="center"/>
    </xf>
    <xf numFmtId="0" fontId="13" fillId="0" borderId="0" pivotButton="0" quotePrefix="0" xfId="9"/>
    <xf numFmtId="0" fontId="23" fillId="0" borderId="0" applyAlignment="1" pivotButton="0" quotePrefix="0" xfId="2">
      <alignment horizontal="left"/>
    </xf>
    <xf numFmtId="0" fontId="23" fillId="0" borderId="0" pivotButton="0" quotePrefix="0" xfId="2"/>
    <xf numFmtId="0" fontId="23" fillId="0" borderId="0" applyAlignment="1" pivotButton="0" quotePrefix="0" xfId="2">
      <alignment horizontal="center"/>
    </xf>
    <xf numFmtId="0" fontId="23" fillId="0" borderId="2" pivotButton="0" quotePrefix="0" xfId="2"/>
    <xf numFmtId="2" fontId="23" fillId="0" borderId="0" pivotButton="0" quotePrefix="0" xfId="2"/>
    <xf numFmtId="0" fontId="23" fillId="0" borderId="16" pivotButton="0" quotePrefix="0" xfId="9"/>
    <xf numFmtId="0" fontId="6" fillId="0" borderId="17" pivotButton="0" quotePrefix="0" xfId="9"/>
    <xf numFmtId="0" fontId="6" fillId="0" borderId="17" applyAlignment="1" pivotButton="0" quotePrefix="0" xfId="9">
      <alignment horizontal="center"/>
    </xf>
    <xf numFmtId="0" fontId="23" fillId="0" borderId="40" pivotButton="0" quotePrefix="0" xfId="2"/>
    <xf numFmtId="0" fontId="23" fillId="0" borderId="17" pivotButton="0" quotePrefix="0" xfId="2"/>
    <xf numFmtId="0" fontId="13" fillId="0" borderId="17" pivotButton="0" quotePrefix="0" xfId="9"/>
    <xf numFmtId="0" fontId="0" fillId="0" borderId="0" applyAlignment="1" pivotButton="0" quotePrefix="0" xfId="0">
      <alignment horizontal="center"/>
    </xf>
    <xf numFmtId="49" fontId="15" fillId="0" borderId="1" pivotButton="0" quotePrefix="0" xfId="9"/>
    <xf numFmtId="49" fontId="15" fillId="0" borderId="0" pivotButton="0" quotePrefix="0" xfId="9"/>
    <xf numFmtId="0" fontId="12" fillId="0" borderId="1" applyAlignment="1" pivotButton="0" quotePrefix="0" xfId="1">
      <alignment vertical="center"/>
    </xf>
    <xf numFmtId="0" fontId="12" fillId="0" borderId="1" pivotButton="0" quotePrefix="0" xfId="1"/>
    <xf numFmtId="0" fontId="25" fillId="0" borderId="1" pivotButton="0" quotePrefix="0" xfId="1"/>
    <xf numFmtId="0" fontId="12" fillId="0" borderId="1" applyAlignment="1" pivotButton="0" quotePrefix="0" xfId="1">
      <alignment wrapText="1"/>
    </xf>
    <xf numFmtId="49" fontId="12" fillId="0" borderId="1" applyAlignment="1" pivotButton="0" quotePrefix="0" xfId="1">
      <alignment vertical="center"/>
    </xf>
    <xf numFmtId="0" fontId="32" fillId="0" borderId="1" applyAlignment="1" pivotButton="0" quotePrefix="0" xfId="1">
      <alignment horizontal="center" vertical="center"/>
    </xf>
    <xf numFmtId="0" fontId="32" fillId="0" borderId="1" applyAlignment="1" pivotButton="0" quotePrefix="0" xfId="9">
      <alignment horizontal="center" vertical="center"/>
    </xf>
    <xf numFmtId="0" fontId="32" fillId="0" borderId="1" applyAlignment="1" pivotButton="0" quotePrefix="0" xfId="1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31" fillId="0" borderId="0" pivotButton="0" quotePrefix="0" xfId="0"/>
    <xf numFmtId="165" fontId="10" fillId="0" borderId="1" pivotButton="0" quotePrefix="0" xfId="3"/>
    <xf numFmtId="165" fontId="11" fillId="0" borderId="1" pivotButton="0" quotePrefix="0" xfId="2"/>
    <xf numFmtId="166" fontId="12" fillId="0" borderId="1" applyAlignment="1" pivotButton="0" quotePrefix="0" xfId="9">
      <alignment horizontal="left"/>
    </xf>
    <xf numFmtId="0" fontId="12" fillId="0" borderId="1" applyAlignment="1" pivotButton="0" quotePrefix="0" xfId="1">
      <alignment horizontal="left"/>
    </xf>
    <xf numFmtId="0" fontId="10" fillId="0" borderId="1" pivotButton="0" quotePrefix="0" xfId="1"/>
    <xf numFmtId="0" fontId="34" fillId="0" borderId="1" pivotButton="0" quotePrefix="0" xfId="1"/>
    <xf numFmtId="0" fontId="11" fillId="0" borderId="1" pivotButton="0" quotePrefix="0" xfId="1"/>
    <xf numFmtId="166" fontId="12" fillId="0" borderId="1" pivotButton="0" quotePrefix="0" xfId="1"/>
    <xf numFmtId="0" fontId="31" fillId="0" borderId="1" pivotButton="0" quotePrefix="0" xfId="0"/>
    <xf numFmtId="0" fontId="10" fillId="0" borderId="1" applyAlignment="1" pivotButton="0" quotePrefix="0" xfId="1">
      <alignment vertical="center"/>
    </xf>
    <xf numFmtId="0" fontId="10" fillId="0" borderId="1" applyAlignment="1" pivotButton="0" quotePrefix="0" xfId="1">
      <alignment horizontal="left" vertical="center"/>
    </xf>
    <xf numFmtId="166" fontId="12" fillId="0" borderId="1" applyAlignment="1" pivotButton="0" quotePrefix="0" xfId="1">
      <alignment vertical="center"/>
    </xf>
    <xf numFmtId="0" fontId="29" fillId="0" borderId="1" applyAlignment="1" pivotButton="0" quotePrefix="0" xfId="1">
      <alignment horizontal="center" vertical="center"/>
    </xf>
    <xf numFmtId="0" fontId="29" fillId="0" borderId="1" applyAlignment="1" pivotButton="0" quotePrefix="0" xfId="9">
      <alignment horizontal="left" vertical="center"/>
    </xf>
    <xf numFmtId="17" fontId="29" fillId="0" borderId="1" applyAlignment="1" pivotButton="0" quotePrefix="0" xfId="1">
      <alignment horizontal="center" vertical="center"/>
    </xf>
    <xf numFmtId="0" fontId="29" fillId="0" borderId="1" applyAlignment="1" pivotButton="0" quotePrefix="0" xfId="9">
      <alignment horizontal="center" vertical="center"/>
    </xf>
    <xf numFmtId="164" fontId="29" fillId="0" borderId="1" applyAlignment="1" pivotButton="0" quotePrefix="0" xfId="1">
      <alignment horizontal="center" vertical="center"/>
    </xf>
    <xf numFmtId="166" fontId="29" fillId="0" borderId="1" applyAlignment="1" pivotButton="0" quotePrefix="0" xfId="1">
      <alignment horizontal="center" vertical="center"/>
    </xf>
    <xf numFmtId="0" fontId="30" fillId="0" borderId="1" applyAlignment="1" pivotButton="0" quotePrefix="0" xfId="1">
      <alignment horizontal="center" vertical="center" wrapText="1"/>
    </xf>
    <xf numFmtId="0" fontId="29" fillId="0" borderId="1" applyAlignment="1" pivotButton="0" quotePrefix="0" xfId="1">
      <alignment horizontal="left" vertical="center"/>
    </xf>
    <xf numFmtId="0" fontId="30" fillId="0" borderId="1" applyAlignment="1" pivotButton="0" quotePrefix="0" xfId="1">
      <alignment vertical="center"/>
    </xf>
    <xf numFmtId="0" fontId="29" fillId="0" borderId="1" pivotButton="0" quotePrefix="0" xfId="1"/>
    <xf numFmtId="0" fontId="30" fillId="0" borderId="1" pivotButton="0" quotePrefix="0" xfId="1"/>
    <xf numFmtId="166" fontId="30" fillId="0" borderId="1" applyAlignment="1" pivotButton="0" quotePrefix="0" xfId="1">
      <alignment vertical="center"/>
    </xf>
    <xf numFmtId="166" fontId="31" fillId="0" borderId="1" pivotButton="0" quotePrefix="0" xfId="0"/>
    <xf numFmtId="0" fontId="35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166" fontId="8" fillId="0" borderId="1" applyAlignment="1" pivotButton="0" quotePrefix="0" xfId="1">
      <alignment horizontal="center" vertical="center" wrapText="1"/>
    </xf>
    <xf numFmtId="0" fontId="33" fillId="0" borderId="0" pivotButton="0" quotePrefix="0" xfId="0"/>
    <xf numFmtId="164" fontId="35" fillId="2" borderId="1" applyAlignment="1" pivotButton="0" quotePrefix="0" xfId="1">
      <alignment horizontal="center" vertical="center"/>
    </xf>
    <xf numFmtId="166" fontId="35" fillId="2" borderId="1" applyAlignment="1" pivotButton="0" quotePrefix="0" xfId="1">
      <alignment horizontal="center" vertical="center"/>
    </xf>
    <xf numFmtId="0" fontId="5" fillId="0" borderId="1" applyAlignment="1" pivotButton="0" quotePrefix="0" xfId="2">
      <alignment horizontal="center" wrapText="1"/>
    </xf>
    <xf numFmtId="164" fontId="8" fillId="0" borderId="1" applyAlignment="1" pivotButton="0" quotePrefix="0" xfId="9">
      <alignment horizontal="center" vertical="center"/>
    </xf>
    <xf numFmtId="166" fontId="8" fillId="0" borderId="1" applyAlignment="1" pivotButton="0" quotePrefix="0" xfId="9">
      <alignment horizontal="center" vertical="center"/>
    </xf>
    <xf numFmtId="0" fontId="18" fillId="0" borderId="1" applyAlignment="1" pivotButton="0" quotePrefix="0" xfId="2">
      <alignment horizontal="center" wrapText="1"/>
    </xf>
    <xf numFmtId="0" fontId="22" fillId="0" borderId="0" pivotButton="0" quotePrefix="0" xfId="2"/>
    <xf numFmtId="0" fontId="15" fillId="0" borderId="0" applyAlignment="1" pivotButton="0" quotePrefix="0" xfId="9">
      <alignment horizontal="center" vertical="center"/>
    </xf>
    <xf numFmtId="0" fontId="18" fillId="0" borderId="0" pivotButton="0" quotePrefix="0" xfId="2"/>
    <xf numFmtId="49" fontId="15" fillId="0" borderId="2" pivotButton="0" quotePrefix="0" xfId="9"/>
    <xf numFmtId="17" fontId="32" fillId="0" borderId="1" applyAlignment="1" pivotButton="0" quotePrefix="0" xfId="9">
      <alignment horizontal="center" vertical="center"/>
    </xf>
    <xf numFmtId="166" fontId="0" fillId="0" borderId="0" pivotButton="0" quotePrefix="0" xfId="0"/>
    <xf numFmtId="49" fontId="14" fillId="0" borderId="1" applyAlignment="1" pivotButton="0" quotePrefix="0" xfId="9">
      <alignment horizontal="center"/>
    </xf>
    <xf numFmtId="49" fontId="14" fillId="0" borderId="12" applyAlignment="1" pivotButton="0" quotePrefix="0" xfId="9">
      <alignment horizontal="center"/>
    </xf>
    <xf numFmtId="0" fontId="31" fillId="0" borderId="1" applyAlignment="1" pivotButton="0" quotePrefix="0" xfId="0">
      <alignment horizontal="center" vertical="center"/>
    </xf>
    <xf numFmtId="0" fontId="13" fillId="0" borderId="11" applyAlignment="1" pivotButton="0" quotePrefix="0" xfId="9">
      <alignment horizontal="center" vertical="center"/>
    </xf>
    <xf numFmtId="0" fontId="15" fillId="0" borderId="1" applyAlignment="1" pivotButton="0" quotePrefix="0" xfId="9">
      <alignment horizontal="center" vertical="center"/>
    </xf>
    <xf numFmtId="17" fontId="13" fillId="0" borderId="10" applyAlignment="1" pivotButton="0" quotePrefix="0" xfId="1">
      <alignment horizontal="center" vertical="center"/>
    </xf>
    <xf numFmtId="0" fontId="0" fillId="0" borderId="1" applyAlignment="1" pivotButton="0" quotePrefix="0" xfId="0">
      <alignment vertical="center"/>
    </xf>
    <xf numFmtId="17" fontId="13" fillId="0" borderId="12" applyAlignment="1" pivotButton="0" quotePrefix="0" xfId="1">
      <alignment horizontal="center" vertical="center"/>
    </xf>
    <xf numFmtId="165" fontId="10" fillId="0" borderId="1" pivotButton="0" quotePrefix="0" xfId="2"/>
    <xf numFmtId="0" fontId="12" fillId="0" borderId="1" applyAlignment="1" pivotButton="0" quotePrefix="0" xfId="1">
      <alignment horizontal="left" vertical="top"/>
    </xf>
    <xf numFmtId="0" fontId="12" fillId="0" borderId="1" pivotButton="0" quotePrefix="0" xfId="0"/>
    <xf numFmtId="0" fontId="30" fillId="0" borderId="1" applyAlignment="1" pivotButton="0" quotePrefix="0" xfId="1">
      <alignment horizontal="left" vertical="center" wrapText="1"/>
    </xf>
    <xf numFmtId="0" fontId="31" fillId="0" borderId="1" applyAlignment="1" pivotButton="0" quotePrefix="0" xfId="1">
      <alignment vertical="center" wrapText="1"/>
    </xf>
    <xf numFmtId="0" fontId="30" fillId="0" borderId="1" applyAlignment="1" pivotButton="0" quotePrefix="0" xfId="1">
      <alignment vertical="center" wrapText="1"/>
    </xf>
    <xf numFmtId="0" fontId="31" fillId="0" borderId="1" applyAlignment="1" pivotButton="0" quotePrefix="0" xfId="0">
      <alignment horizontal="left" vertical="center" wrapText="1"/>
    </xf>
    <xf numFmtId="0" fontId="36" fillId="0" borderId="12" applyAlignment="1" pivotButton="0" quotePrefix="0" xfId="9">
      <alignment horizontal="center" vertical="center"/>
    </xf>
    <xf numFmtId="0" fontId="1" fillId="0" borderId="1" applyAlignment="1" pivotButton="0" quotePrefix="0" xfId="0">
      <alignment horizontal="center"/>
    </xf>
    <xf numFmtId="17" fontId="6" fillId="0" borderId="1" applyAlignment="1" pivotButton="0" quotePrefix="0" xfId="1">
      <alignment horizontal="center" vertical="center"/>
    </xf>
    <xf numFmtId="0" fontId="6" fillId="0" borderId="1" applyAlignment="1" pivotButton="0" quotePrefix="0" xfId="9">
      <alignment horizontal="left" vertical="center"/>
    </xf>
    <xf numFmtId="164" fontId="6" fillId="0" borderId="10" applyAlignment="1" pivotButton="0" quotePrefix="0" xfId="1">
      <alignment horizontal="center" vertical="center"/>
    </xf>
    <xf numFmtId="0" fontId="1" fillId="0" borderId="10" applyAlignment="1" pivotButton="0" quotePrefix="0" xfId="0">
      <alignment horizontal="center"/>
    </xf>
    <xf numFmtId="17" fontId="6" fillId="0" borderId="12" applyAlignment="1" pivotButton="0" quotePrefix="0" xfId="1">
      <alignment horizontal="center" vertical="center"/>
    </xf>
    <xf numFmtId="17" fontId="1" fillId="0" borderId="10" applyAlignment="1" pivotButton="0" quotePrefix="0" xfId="0">
      <alignment horizontal="center"/>
    </xf>
    <xf numFmtId="164" fontId="13" fillId="0" borderId="10" applyAlignment="1" pivotButton="0" quotePrefix="0" xfId="1">
      <alignment horizontal="center" vertical="center"/>
    </xf>
    <xf numFmtId="0" fontId="8" fillId="2" borderId="1" applyAlignment="1" pivotButton="0" quotePrefix="0" xfId="1">
      <alignment horizontal="center" vertical="center"/>
    </xf>
    <xf numFmtId="0" fontId="12" fillId="0" borderId="1" applyAlignment="1" pivotButton="0" quotePrefix="0" xfId="1">
      <alignment vertical="center"/>
    </xf>
    <xf numFmtId="0" fontId="12" fillId="0" borderId="1" pivotButton="0" quotePrefix="0" xfId="1"/>
    <xf numFmtId="0" fontId="12" fillId="0" borderId="1" applyAlignment="1" pivotButton="0" quotePrefix="0" xfId="1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12" fillId="0" borderId="1" applyAlignment="1" pivotButton="0" quotePrefix="0" xfId="1">
      <alignment horizontal="left" vertical="center"/>
    </xf>
    <xf numFmtId="49" fontId="12" fillId="0" borderId="1" applyAlignment="1" pivotButton="0" quotePrefix="0" xfId="1">
      <alignment vertical="center"/>
    </xf>
    <xf numFmtId="0" fontId="12" fillId="0" borderId="1" applyAlignment="1" pivotButton="0" quotePrefix="0" xfId="1">
      <alignment horizontal="center"/>
    </xf>
    <xf numFmtId="49" fontId="12" fillId="0" borderId="1" applyAlignment="1" pivotButton="0" quotePrefix="0" xfId="9">
      <alignment horizontal="left"/>
    </xf>
    <xf numFmtId="49" fontId="14" fillId="0" borderId="3" applyAlignment="1" pivotButton="0" quotePrefix="0" xfId="9">
      <alignment horizontal="left"/>
    </xf>
    <xf numFmtId="49" fontId="14" fillId="0" borderId="9" applyAlignment="1" pivotButton="0" quotePrefix="0" xfId="9">
      <alignment horizontal="left"/>
    </xf>
    <xf numFmtId="0" fontId="17" fillId="0" borderId="14" applyAlignment="1" pivotButton="0" quotePrefix="0" xfId="2">
      <alignment wrapText="1"/>
    </xf>
    <xf numFmtId="49" fontId="14" fillId="0" borderId="5" applyAlignment="1" pivotButton="0" quotePrefix="0" xfId="9">
      <alignment horizontal="center" vertical="center"/>
    </xf>
    <xf numFmtId="49" fontId="14" fillId="0" borderId="6" applyAlignment="1" pivotButton="0" quotePrefix="0" xfId="9">
      <alignment horizontal="center" vertical="center"/>
    </xf>
    <xf numFmtId="49" fontId="14" fillId="0" borderId="7" applyAlignment="1" pivotButton="0" quotePrefix="0" xfId="9">
      <alignment horizontal="center" vertical="center"/>
    </xf>
    <xf numFmtId="49" fontId="14" fillId="0" borderId="3" applyAlignment="1" pivotButton="0" quotePrefix="0" xfId="9">
      <alignment horizontal="center" vertical="center"/>
    </xf>
    <xf numFmtId="49" fontId="14" fillId="0" borderId="4" applyAlignment="1" pivotButton="0" quotePrefix="0" xfId="9">
      <alignment horizontal="center" vertical="center"/>
    </xf>
    <xf numFmtId="49" fontId="14" fillId="0" borderId="9" applyAlignment="1" pivotButton="0" quotePrefix="0" xfId="9">
      <alignment horizontal="center" vertical="center"/>
    </xf>
    <xf numFmtId="49" fontId="14" fillId="0" borderId="20" applyAlignment="1" pivotButton="0" quotePrefix="0" xfId="9">
      <alignment horizontal="center" wrapText="1"/>
    </xf>
    <xf numFmtId="49" fontId="14" fillId="0" borderId="19" applyAlignment="1" pivotButton="0" quotePrefix="0" xfId="9">
      <alignment horizontal="center" wrapText="1"/>
    </xf>
    <xf numFmtId="49" fontId="14" fillId="0" borderId="13" applyAlignment="1" pivotButton="0" quotePrefix="0" xfId="9">
      <alignment horizontal="center" wrapText="1"/>
    </xf>
    <xf numFmtId="49" fontId="14" fillId="0" borderId="24" applyAlignment="1" pivotButton="0" quotePrefix="0" xfId="9">
      <alignment horizontal="center" wrapText="1"/>
    </xf>
    <xf numFmtId="49" fontId="14" fillId="0" borderId="24" applyAlignment="1" pivotButton="0" quotePrefix="0" xfId="9">
      <alignment horizontal="center"/>
    </xf>
    <xf numFmtId="49" fontId="14" fillId="0" borderId="25" pivotButton="0" quotePrefix="0" xfId="9"/>
    <xf numFmtId="49" fontId="14" fillId="0" borderId="26" pivotButton="0" quotePrefix="0" xfId="9"/>
    <xf numFmtId="49" fontId="14" fillId="0" borderId="27" pivotButton="0" quotePrefix="0" xfId="9"/>
    <xf numFmtId="49" fontId="14" fillId="0" borderId="29" applyAlignment="1" pivotButton="0" quotePrefix="0" xfId="9">
      <alignment horizontal="left"/>
    </xf>
    <xf numFmtId="49" fontId="14" fillId="0" borderId="30" applyAlignment="1" pivotButton="0" quotePrefix="0" xfId="9">
      <alignment horizontal="left"/>
    </xf>
    <xf numFmtId="49" fontId="14" fillId="0" borderId="33" applyAlignment="1" pivotButton="0" quotePrefix="0" xfId="9">
      <alignment horizontal="left"/>
    </xf>
    <xf numFmtId="49" fontId="14" fillId="0" borderId="41" pivotButton="0" quotePrefix="0" xfId="9"/>
    <xf numFmtId="49" fontId="14" fillId="0" borderId="12" pivotButton="0" quotePrefix="0" xfId="9"/>
    <xf numFmtId="49" fontId="14" fillId="0" borderId="11" pivotButton="0" quotePrefix="0" xfId="9"/>
    <xf numFmtId="49" fontId="14" fillId="0" borderId="42" pivotButton="0" quotePrefix="0" xfId="9"/>
    <xf numFmtId="49" fontId="14" fillId="0" borderId="14" pivotButton="0" quotePrefix="0" xfId="9"/>
    <xf numFmtId="49" fontId="14" fillId="0" borderId="8" pivotButton="0" quotePrefix="0" xfId="9"/>
    <xf numFmtId="49" fontId="14" fillId="0" borderId="0" pivotButton="0" quotePrefix="0" xfId="9"/>
    <xf numFmtId="49" fontId="14" fillId="0" borderId="15" pivotButton="0" quotePrefix="0" xfId="9"/>
    <xf numFmtId="0" fontId="20" fillId="0" borderId="10" applyAlignment="1" pivotButton="0" quotePrefix="0" xfId="11">
      <alignment horizontal="center"/>
    </xf>
    <xf numFmtId="0" fontId="20" fillId="0" borderId="6" applyAlignment="1" pivotButton="0" quotePrefix="0" xfId="11">
      <alignment horizontal="center"/>
    </xf>
    <xf numFmtId="0" fontId="20" fillId="0" borderId="7" applyAlignment="1" pivotButton="0" quotePrefix="0" xfId="11">
      <alignment horizontal="center"/>
    </xf>
    <xf numFmtId="0" fontId="20" fillId="0" borderId="10" applyAlignment="1" pivotButton="0" quotePrefix="0" xfId="11">
      <alignment horizontal="center" vertical="top"/>
    </xf>
    <xf numFmtId="0" fontId="20" fillId="0" borderId="12" applyAlignment="1" pivotButton="0" quotePrefix="0" xfId="11">
      <alignment horizontal="center" vertical="top"/>
    </xf>
    <xf numFmtId="0" fontId="20" fillId="0" borderId="11" applyAlignment="1" pivotButton="0" quotePrefix="0" xfId="11">
      <alignment horizontal="center" vertical="top"/>
    </xf>
    <xf numFmtId="0" fontId="20" fillId="0" borderId="20" applyAlignment="1" pivotButton="0" quotePrefix="0" xfId="11">
      <alignment horizontal="center" vertical="center" wrapText="1"/>
    </xf>
    <xf numFmtId="0" fontId="20" fillId="0" borderId="13" applyAlignment="1" pivotButton="0" quotePrefix="0" xfId="11">
      <alignment horizontal="center" vertical="center" wrapText="1"/>
    </xf>
    <xf numFmtId="0" fontId="20" fillId="0" borderId="5" applyAlignment="1" pivotButton="0" quotePrefix="0" xfId="11">
      <alignment horizontal="center" vertical="center" wrapText="1"/>
    </xf>
    <xf numFmtId="0" fontId="20" fillId="0" borderId="7" applyAlignment="1" pivotButton="0" quotePrefix="0" xfId="11">
      <alignment horizontal="center" vertical="center" wrapText="1"/>
    </xf>
    <xf numFmtId="0" fontId="20" fillId="0" borderId="3" applyAlignment="1" pivotButton="0" quotePrefix="0" xfId="11">
      <alignment horizontal="center" vertical="center" wrapText="1"/>
    </xf>
    <xf numFmtId="0" fontId="20" fillId="0" borderId="9" applyAlignment="1" pivotButton="0" quotePrefix="0" xfId="11">
      <alignment horizontal="center" vertical="center" wrapText="1"/>
    </xf>
    <xf numFmtId="49" fontId="20" fillId="0" borderId="5" applyAlignment="1" pivotButton="0" quotePrefix="1" xfId="11">
      <alignment horizontal="center" vertical="center" wrapText="1"/>
    </xf>
    <xf numFmtId="49" fontId="20" fillId="0" borderId="7" applyAlignment="1" pivotButton="0" quotePrefix="0" xfId="11">
      <alignment horizontal="center" vertical="center" wrapText="1"/>
    </xf>
    <xf numFmtId="49" fontId="20" fillId="0" borderId="3" applyAlignment="1" pivotButton="0" quotePrefix="0" xfId="11">
      <alignment horizontal="center" vertical="center" wrapText="1"/>
    </xf>
    <xf numFmtId="49" fontId="20" fillId="0" borderId="9" applyAlignment="1" pivotButton="0" quotePrefix="0" xfId="11">
      <alignment horizontal="center" vertical="center" wrapText="1"/>
    </xf>
    <xf numFmtId="0" fontId="20" fillId="0" borderId="10" applyAlignment="1" pivotButton="0" quotePrefix="0" xfId="11">
      <alignment horizontal="center" vertical="center" wrapText="1"/>
    </xf>
    <xf numFmtId="0" fontId="20" fillId="0" borderId="12" applyAlignment="1" pivotButton="0" quotePrefix="0" xfId="11">
      <alignment horizontal="center" vertical="center" wrapText="1"/>
    </xf>
    <xf numFmtId="0" fontId="20" fillId="0" borderId="11" applyAlignment="1" pivotButton="0" quotePrefix="0" xfId="11">
      <alignment horizontal="center"/>
    </xf>
    <xf numFmtId="0" fontId="20" fillId="0" borderId="12" applyAlignment="1" pivotButton="0" quotePrefix="0" xfId="11">
      <alignment horizontal="center"/>
    </xf>
    <xf numFmtId="0" fontId="20" fillId="0" borderId="20" applyAlignment="1" pivotButton="0" quotePrefix="0" xfId="11">
      <alignment horizontal="center" vertical="top" wrapText="1"/>
    </xf>
    <xf numFmtId="0" fontId="20" fillId="0" borderId="19" applyAlignment="1" pivotButton="0" quotePrefix="0" xfId="11">
      <alignment horizontal="center" vertical="top" wrapText="1"/>
    </xf>
    <xf numFmtId="0" fontId="20" fillId="0" borderId="13" applyAlignment="1" pivotButton="0" quotePrefix="0" xfId="11">
      <alignment horizontal="center" vertical="top" wrapText="1"/>
    </xf>
    <xf numFmtId="0" fontId="20" fillId="0" borderId="10" applyAlignment="1" pivotButton="0" quotePrefix="0" xfId="11">
      <alignment horizontal="center" vertical="center"/>
    </xf>
    <xf numFmtId="0" fontId="20" fillId="0" borderId="12" applyAlignment="1" pivotButton="0" quotePrefix="0" xfId="11">
      <alignment horizontal="center" vertical="center"/>
    </xf>
    <xf numFmtId="0" fontId="20" fillId="0" borderId="20" applyAlignment="1" pivotButton="0" quotePrefix="0" xfId="11">
      <alignment horizontal="center" vertical="center"/>
    </xf>
    <xf numFmtId="0" fontId="20" fillId="0" borderId="13" applyAlignment="1" pivotButton="0" quotePrefix="0" xfId="11">
      <alignment horizontal="center" vertical="center"/>
    </xf>
    <xf numFmtId="164" fontId="20" fillId="0" borderId="20" applyAlignment="1" pivotButton="0" quotePrefix="0" xfId="11">
      <alignment horizontal="center" vertical="center" wrapText="1"/>
    </xf>
    <xf numFmtId="164" fontId="20" fillId="0" borderId="13" applyAlignment="1" pivotButton="0" quotePrefix="0" xfId="11">
      <alignment horizontal="center" vertical="center" wrapText="1"/>
    </xf>
    <xf numFmtId="0" fontId="20" fillId="0" borderId="19" applyAlignment="1" pivotButton="0" quotePrefix="0" xfId="11">
      <alignment horizontal="center" vertical="center"/>
    </xf>
    <xf numFmtId="2" fontId="20" fillId="0" borderId="20" applyAlignment="1" pivotButton="0" quotePrefix="0" xfId="11">
      <alignment horizontal="center"/>
    </xf>
    <xf numFmtId="2" fontId="20" fillId="0" borderId="19" applyAlignment="1" pivotButton="0" quotePrefix="0" xfId="11">
      <alignment horizontal="center"/>
    </xf>
    <xf numFmtId="2" fontId="20" fillId="0" borderId="13" applyAlignment="1" pivotButton="0" quotePrefix="0" xfId="11">
      <alignment horizontal="center"/>
    </xf>
    <xf numFmtId="0" fontId="20" fillId="0" borderId="20" applyAlignment="1" pivotButton="0" quotePrefix="0" xfId="11">
      <alignment horizontal="center"/>
    </xf>
    <xf numFmtId="0" fontId="20" fillId="0" borderId="13" applyAlignment="1" pivotButton="0" quotePrefix="0" xfId="11">
      <alignment horizontal="center"/>
    </xf>
    <xf numFmtId="4" fontId="20" fillId="0" borderId="20" applyAlignment="1" pivotButton="0" quotePrefix="0" xfId="11">
      <alignment horizontal="center" vertical="center"/>
    </xf>
    <xf numFmtId="4" fontId="20" fillId="0" borderId="13" applyAlignment="1" pivotButton="0" quotePrefix="0" xfId="11">
      <alignment horizontal="center" vertical="center"/>
    </xf>
    <xf numFmtId="2" fontId="20" fillId="0" borderId="5" applyAlignment="1" pivotButton="0" quotePrefix="0" xfId="11">
      <alignment horizontal="center" vertical="center"/>
    </xf>
    <xf numFmtId="2" fontId="20" fillId="0" borderId="7" applyAlignment="1" pivotButton="0" quotePrefix="0" xfId="11">
      <alignment horizontal="center" vertical="center"/>
    </xf>
    <xf numFmtId="2" fontId="20" fillId="0" borderId="3" applyAlignment="1" pivotButton="0" quotePrefix="0" xfId="11">
      <alignment horizontal="center" vertical="center"/>
    </xf>
    <xf numFmtId="2" fontId="20" fillId="0" borderId="9" applyAlignment="1" pivotButton="0" quotePrefix="0" xfId="11">
      <alignment horizontal="center" vertical="center"/>
    </xf>
    <xf numFmtId="0" fontId="20" fillId="0" borderId="1" applyAlignment="1" pivotButton="0" quotePrefix="0" xfId="11">
      <alignment horizontal="center"/>
    </xf>
    <xf numFmtId="0" fontId="20" fillId="0" borderId="5" applyAlignment="1" pivotButton="0" quotePrefix="0" xfId="11">
      <alignment horizontal="center"/>
    </xf>
    <xf numFmtId="0" fontId="20" fillId="0" borderId="10" applyAlignment="1" pivotButton="0" quotePrefix="0" xfId="11">
      <alignment horizontal="center" vertical="top" wrapText="1"/>
    </xf>
    <xf numFmtId="0" fontId="20" fillId="0" borderId="12" applyAlignment="1" pivotButton="0" quotePrefix="0" xfId="11">
      <alignment horizontal="center" vertical="top" wrapText="1"/>
    </xf>
    <xf numFmtId="0" fontId="20" fillId="0" borderId="3" applyAlignment="1" pivotButton="0" quotePrefix="0" xfId="11">
      <alignment horizontal="center"/>
    </xf>
    <xf numFmtId="0" fontId="20" fillId="0" borderId="4" applyAlignment="1" pivotButton="0" quotePrefix="0" xfId="11">
      <alignment horizontal="center"/>
    </xf>
    <xf numFmtId="0" fontId="20" fillId="0" borderId="9" applyAlignment="1" pivotButton="0" quotePrefix="0" xfId="11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8" pivotButton="0" quotePrefix="0" xfId="0"/>
    <xf numFmtId="49" fontId="14" fillId="0" borderId="44" pivotButton="0" quotePrefix="0" xfId="9"/>
    <xf numFmtId="0" fontId="0" fillId="0" borderId="26" pivotButton="0" quotePrefix="0" xfId="0"/>
    <xf numFmtId="0" fontId="0" fillId="0" borderId="27" pivotButton="0" quotePrefix="0" xfId="0"/>
    <xf numFmtId="49" fontId="14" fillId="0" borderId="47" applyAlignment="1" pivotButton="0" quotePrefix="0" xfId="9">
      <alignment horizontal="left"/>
    </xf>
    <xf numFmtId="0" fontId="0" fillId="0" borderId="30" pivotButton="0" quotePrefix="0" xfId="0"/>
    <xf numFmtId="0" fontId="0" fillId="0" borderId="33" pivotButton="0" quotePrefix="0" xfId="0"/>
    <xf numFmtId="0" fontId="0" fillId="0" borderId="15" pivotButton="0" quotePrefix="0" xfId="0"/>
    <xf numFmtId="0" fontId="0" fillId="0" borderId="42" pivotButton="0" quotePrefix="0" xfId="0"/>
    <xf numFmtId="49" fontId="14" fillId="0" borderId="13" applyAlignment="1" pivotButton="0" quotePrefix="0" xfId="9">
      <alignment horizontal="left"/>
    </xf>
    <xf numFmtId="49" fontId="14" fillId="0" borderId="1" applyAlignment="1" pivotButton="0" quotePrefix="0" xfId="9">
      <alignment horizontal="center" vertical="center"/>
    </xf>
    <xf numFmtId="49" fontId="14" fillId="0" borderId="1" applyAlignment="1" pivotButton="0" quotePrefix="0" xfId="9">
      <alignment horizontal="center" wrapText="1"/>
    </xf>
    <xf numFmtId="0" fontId="0" fillId="0" borderId="14" pivotButton="0" quotePrefix="0" xfId="0"/>
    <xf numFmtId="0" fontId="0" fillId="0" borderId="19" pivotButton="0" quotePrefix="0" xfId="0"/>
    <xf numFmtId="0" fontId="0" fillId="0" borderId="48" pivotButton="0" quotePrefix="0" xfId="0"/>
    <xf numFmtId="0" fontId="0" fillId="0" borderId="13" pivotButton="0" quotePrefix="0" xfId="0"/>
    <xf numFmtId="0" fontId="0" fillId="0" borderId="49" pivotButton="0" quotePrefix="0" xfId="0"/>
    <xf numFmtId="49" fontId="20" fillId="0" borderId="1" applyAlignment="1" pivotButton="0" quotePrefix="1" xfId="11">
      <alignment horizontal="center" vertical="center" wrapText="1"/>
    </xf>
    <xf numFmtId="164" fontId="20" fillId="0" borderId="1" applyAlignment="1" pivotButton="0" quotePrefix="0" xfId="11">
      <alignment horizontal="center" vertical="center" wrapText="1"/>
    </xf>
    <xf numFmtId="4" fontId="20" fillId="0" borderId="1" applyAlignment="1" pivotButton="0" quotePrefix="0" xfId="11">
      <alignment horizontal="center" vertical="center"/>
    </xf>
    <xf numFmtId="2" fontId="20" fillId="0" borderId="1" applyAlignment="1" pivotButton="0" quotePrefix="0" xfId="11">
      <alignment horizontal="center" vertical="center"/>
    </xf>
    <xf numFmtId="2" fontId="20" fillId="0" borderId="1" applyAlignment="1" pivotButton="0" quotePrefix="0" xfId="11">
      <alignment horizontal="center"/>
    </xf>
  </cellXfs>
  <cellStyles count="12">
    <cellStyle name="Normal" xfId="0" builtinId="0"/>
    <cellStyle name="Normal 2" xfId="1"/>
    <cellStyle name="Normal 2 2 2" xfId="2"/>
    <cellStyle name="Normal 5 2" xfId="3"/>
    <cellStyle name="Style 1 2" xfId="4"/>
    <cellStyle name="Normal 5" xfId="5"/>
    <cellStyle name="Normal 6" xfId="6"/>
    <cellStyle name="Normal 7" xfId="7"/>
    <cellStyle name="Normal 6 2" xfId="8"/>
    <cellStyle name="Normal 3" xfId="9"/>
    <cellStyle name="Comma 3" xfId="10"/>
    <cellStyle name="Normal 4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zoomScale="70" zoomScaleNormal="70" workbookViewId="0">
      <selection activeCell="A1" sqref="A1:M1"/>
    </sheetView>
  </sheetViews>
  <sheetFormatPr baseColWidth="8" defaultRowHeight="15.75"/>
  <cols>
    <col width="9.28515625" bestFit="1" customWidth="1" style="156" min="1" max="1"/>
    <col width="39.85546875" customWidth="1" style="156" min="2" max="2"/>
    <col width="32.85546875" customWidth="1" style="156" min="3" max="3"/>
    <col width="21.7109375" customWidth="1" style="156" min="4" max="4"/>
    <col width="16.28515625" customWidth="1" style="156" min="5" max="5"/>
    <col width="10" bestFit="1" customWidth="1" style="156" min="6" max="6"/>
    <col width="48.42578125" customWidth="1" style="156" min="7" max="7"/>
    <col width="15.85546875" bestFit="1" customWidth="1" style="156" min="8" max="8"/>
    <col width="9.7109375" bestFit="1" customWidth="1" style="156" min="9" max="9"/>
    <col width="12.5703125" customWidth="1" style="156" min="10" max="10"/>
    <col width="15.7109375" bestFit="1" customWidth="1" style="172" min="11" max="11"/>
    <col width="9.28515625" bestFit="1" customWidth="1" style="156" min="12" max="12"/>
    <col width="18.85546875" bestFit="1" customWidth="1" style="156" min="13" max="13"/>
    <col width="9.140625" customWidth="1" style="147" min="14" max="16384"/>
  </cols>
  <sheetData>
    <row r="1">
      <c r="A1" s="216" t="inlineStr">
        <is>
          <t>PACKING LIST</t>
        </is>
      </c>
      <c r="B1" s="298" t="n"/>
      <c r="C1" s="298" t="n"/>
      <c r="D1" s="298" t="n"/>
      <c r="E1" s="298" t="n"/>
      <c r="F1" s="298" t="n"/>
      <c r="G1" s="298" t="n"/>
      <c r="H1" s="298" t="n"/>
      <c r="I1" s="298" t="n"/>
      <c r="J1" s="298" t="n"/>
      <c r="K1" s="298" t="n"/>
      <c r="L1" s="298" t="n"/>
      <c r="M1" s="299" t="n"/>
    </row>
    <row r="2">
      <c r="A2" s="218" t="inlineStr">
        <is>
          <t>Exporter :</t>
        </is>
      </c>
      <c r="B2" s="298" t="n"/>
      <c r="C2" s="298" t="n"/>
      <c r="D2" s="298" t="n"/>
      <c r="E2" s="299" t="n"/>
      <c r="F2" s="215" t="inlineStr">
        <is>
          <t>Invoice No. &amp; Date</t>
        </is>
      </c>
      <c r="G2" s="298" t="n"/>
      <c r="H2" s="298" t="n"/>
      <c r="I2" s="298" t="n"/>
      <c r="J2" s="298" t="n"/>
      <c r="K2" s="298" t="n"/>
      <c r="L2" s="299" t="n"/>
      <c r="M2" s="214" t="inlineStr">
        <is>
          <t>Exporter Ref.</t>
        </is>
      </c>
    </row>
    <row r="3">
      <c r="A3" s="148" t="inlineStr">
        <is>
          <t>Name &amp; Add :  NARIX PAHRMACEUTICALS PVT LTD</t>
        </is>
      </c>
      <c r="B3" s="197" t="n"/>
      <c r="C3" s="149" t="n"/>
      <c r="D3" s="149" t="n"/>
      <c r="E3" s="215" t="n"/>
      <c r="F3" s="219" t="inlineStr">
        <is>
          <t>P/000186</t>
        </is>
      </c>
      <c r="G3" s="214" t="n"/>
      <c r="H3" s="221" t="inlineStr">
        <is>
          <t>09/03/2026</t>
        </is>
      </c>
      <c r="I3" s="298" t="n"/>
      <c r="J3" s="299" t="n"/>
      <c r="K3" s="150" t="n"/>
      <c r="L3" s="214" t="n"/>
      <c r="M3" s="151" t="inlineStr">
        <is>
          <t>AAICN5916B</t>
        </is>
      </c>
    </row>
    <row r="4">
      <c r="A4" s="215" t="n"/>
      <c r="B4" s="198" t="inlineStr">
        <is>
          <t>404, 4TH FLOOR, BAYVUE EAST</t>
        </is>
      </c>
      <c r="C4" s="152" t="n"/>
      <c r="D4" s="152" t="n"/>
      <c r="E4" s="152" t="n"/>
      <c r="F4" s="220" t="inlineStr">
        <is>
          <t>Buyer's Order No. &amp; Date</t>
        </is>
      </c>
      <c r="G4" s="300" t="n"/>
      <c r="H4" s="300" t="n"/>
      <c r="I4" s="300" t="n"/>
      <c r="J4" s="300" t="n"/>
      <c r="K4" s="300" t="n"/>
      <c r="L4" s="300" t="n"/>
      <c r="M4" s="301" t="n"/>
    </row>
    <row r="5">
      <c r="A5" s="153" t="n"/>
      <c r="B5" s="198" t="inlineStr">
        <is>
          <t>DR. MB VELKAR STREET, KALBADEVI</t>
        </is>
      </c>
      <c r="C5" s="154" t="n"/>
      <c r="D5" s="154" t="n"/>
      <c r="E5" s="215" t="n"/>
      <c r="F5" s="302" t="n"/>
      <c r="G5" s="303" t="n"/>
      <c r="H5" s="303" t="n"/>
      <c r="I5" s="303" t="n"/>
      <c r="J5" s="303" t="n"/>
      <c r="K5" s="303" t="n"/>
      <c r="L5" s="303" t="n"/>
      <c r="M5" s="304" t="n"/>
    </row>
    <row r="6">
      <c r="A6" s="153" t="n"/>
      <c r="B6" s="198" t="inlineStr">
        <is>
          <t>MUMBAI MH 400002</t>
        </is>
      </c>
      <c r="C6" s="154" t="n"/>
      <c r="D6" s="154" t="n"/>
      <c r="E6" s="215" t="n"/>
      <c r="F6" s="220" t="inlineStr">
        <is>
          <t>Other Reference(S)</t>
        </is>
      </c>
      <c r="G6" s="300" t="n"/>
      <c r="H6" s="300" t="n"/>
      <c r="I6" s="300" t="n"/>
      <c r="J6" s="300" t="n"/>
      <c r="K6" s="300" t="n"/>
      <c r="L6" s="300" t="n"/>
      <c r="M6" s="301" t="n"/>
    </row>
    <row r="7">
      <c r="A7" s="153" t="n"/>
      <c r="B7" s="215" t="inlineStr">
        <is>
          <t>INDIA</t>
        </is>
      </c>
      <c r="C7" s="154" t="n"/>
      <c r="D7" s="154" t="n"/>
      <c r="E7" s="215" t="n"/>
      <c r="F7" s="302" t="n"/>
      <c r="G7" s="303" t="n"/>
      <c r="H7" s="303" t="n"/>
      <c r="I7" s="303" t="n"/>
      <c r="J7" s="303" t="n"/>
      <c r="K7" s="303" t="n"/>
      <c r="L7" s="303" t="n"/>
      <c r="M7" s="304" t="n"/>
    </row>
    <row r="8">
      <c r="A8" s="153" t="n"/>
      <c r="B8" s="214" t="n"/>
      <c r="C8" s="215" t="n"/>
      <c r="D8" s="215" t="n"/>
      <c r="E8" s="215" t="n"/>
      <c r="F8" s="215" t="inlineStr">
        <is>
          <t>Buyer (If other than Consignee)</t>
        </is>
      </c>
      <c r="G8" s="215" t="n"/>
      <c r="H8" s="215" t="n"/>
      <c r="I8" s="215" t="n"/>
      <c r="J8" s="215" t="n"/>
      <c r="K8" s="155" t="n"/>
      <c r="L8" s="214" t="n"/>
      <c r="M8" s="214" t="n"/>
    </row>
    <row r="9">
      <c r="A9" s="214" t="inlineStr">
        <is>
          <t>Consignee :</t>
        </is>
      </c>
      <c r="B9" s="214" t="n"/>
      <c r="C9" s="215" t="n"/>
      <c r="E9" s="215" t="n"/>
      <c r="F9" s="215" t="n"/>
      <c r="G9" s="215" t="inlineStr">
        <is>
          <t>JASON BROOKES</t>
        </is>
      </c>
      <c r="H9" s="215" t="n"/>
      <c r="I9" s="215" t="n"/>
      <c r="J9" s="215" t="n"/>
      <c r="K9" s="155" t="n"/>
      <c r="L9" s="214" t="n"/>
      <c r="M9" s="214" t="n"/>
    </row>
    <row r="10" ht="31.5" customHeight="1">
      <c r="A10" s="157" t="n"/>
      <c r="B10" s="215" t="inlineStr">
        <is>
          <t>AS PER PACKING LIST</t>
        </is>
      </c>
      <c r="C10" s="140" t="n"/>
      <c r="D10" s="140" t="n"/>
      <c r="E10" s="140" t="n"/>
      <c r="F10" s="215" t="n"/>
      <c r="G10" s="141" t="inlineStr">
        <is>
          <t>REDWORTH, GRENADIER RD ASH VALE SURREY GU125DT, UNITEK KINGDOM</t>
        </is>
      </c>
      <c r="H10" s="215" t="n"/>
      <c r="I10" s="215" t="n"/>
      <c r="J10" s="215" t="n"/>
      <c r="K10" s="155" t="n"/>
      <c r="L10" s="214" t="n"/>
      <c r="M10" s="214" t="inlineStr">
        <is>
          <t xml:space="preserve"> </t>
        </is>
      </c>
    </row>
    <row r="11">
      <c r="A11" s="158" t="n"/>
      <c r="B11" s="199" t="n"/>
      <c r="C11" s="140" t="n"/>
      <c r="D11" s="141" t="n"/>
      <c r="E11" s="141" t="n"/>
      <c r="F11" s="214" t="inlineStr">
        <is>
          <t>Country Of Origin of goods                   India</t>
        </is>
      </c>
      <c r="G11" s="300" t="n"/>
      <c r="H11" s="300" t="n"/>
      <c r="I11" s="300" t="n"/>
      <c r="J11" s="301" t="n"/>
      <c r="K11" s="159" t="n"/>
      <c r="L11" s="217" t="inlineStr">
        <is>
          <t>Country of Final Destination                                                                    AS PER PACKING LIST</t>
        </is>
      </c>
      <c r="M11" s="301" t="n"/>
    </row>
    <row r="12">
      <c r="A12" s="157" t="n"/>
      <c r="B12" s="199" t="n"/>
      <c r="C12" s="141" t="n"/>
      <c r="D12" s="141" t="n"/>
      <c r="E12" s="141" t="n"/>
      <c r="F12" s="305" t="n"/>
      <c r="J12" s="306" t="n"/>
      <c r="K12" s="159" t="n"/>
      <c r="L12" s="305" t="n"/>
      <c r="M12" s="306" t="n"/>
    </row>
    <row r="13">
      <c r="A13" s="152" t="n"/>
      <c r="B13" s="215" t="n"/>
      <c r="C13" s="141" t="n"/>
      <c r="D13" s="141" t="n"/>
      <c r="E13" s="141" t="n"/>
      <c r="F13" s="302" t="n"/>
      <c r="G13" s="303" t="n"/>
      <c r="H13" s="303" t="n"/>
      <c r="I13" s="303" t="n"/>
      <c r="J13" s="304" t="n"/>
      <c r="K13" s="159" t="n"/>
      <c r="L13" s="302" t="n"/>
      <c r="M13" s="304" t="n"/>
    </row>
    <row r="14">
      <c r="A14" s="140" t="n"/>
      <c r="B14" s="141" t="n"/>
      <c r="C14" s="141" t="n"/>
      <c r="D14" s="141" t="n"/>
      <c r="E14" s="141" t="n"/>
      <c r="F14" s="215" t="inlineStr">
        <is>
          <t>Handling Information (If Any)</t>
        </is>
      </c>
      <c r="G14" s="298" t="n"/>
      <c r="H14" s="298" t="n"/>
      <c r="I14" s="298" t="n"/>
      <c r="J14" s="298" t="n"/>
      <c r="K14" s="298" t="n"/>
      <c r="L14" s="298" t="n"/>
      <c r="M14" s="299" t="n"/>
    </row>
    <row r="15">
      <c r="A15" s="216" t="inlineStr">
        <is>
          <t>Pre carriage by:</t>
        </is>
      </c>
      <c r="B15" s="300" t="n"/>
      <c r="C15" s="301" t="n"/>
      <c r="D15" s="216" t="inlineStr">
        <is>
          <t>Place of receipt</t>
        </is>
      </c>
      <c r="E15" s="301" t="n"/>
      <c r="F15" s="215" t="n"/>
      <c r="G15" s="215" t="n"/>
      <c r="H15" s="215" t="n"/>
      <c r="I15" s="215" t="n"/>
      <c r="J15" s="215" t="n"/>
      <c r="K15" s="155" t="n"/>
      <c r="L15" s="215" t="n"/>
      <c r="M15" s="215" t="n"/>
    </row>
    <row r="16">
      <c r="A16" s="302" t="n"/>
      <c r="B16" s="303" t="n"/>
      <c r="C16" s="304" t="n"/>
      <c r="D16" s="302" t="n"/>
      <c r="E16" s="304" t="n"/>
      <c r="F16" s="215" t="n"/>
      <c r="H16" s="215" t="n"/>
      <c r="I16" s="215" t="n"/>
      <c r="J16" s="215" t="n"/>
      <c r="K16" s="155" t="n"/>
      <c r="L16" s="215" t="n"/>
      <c r="M16" s="215" t="n"/>
    </row>
    <row r="17">
      <c r="A17" s="216" t="inlineStr">
        <is>
          <t>Vessel/Flight No:</t>
        </is>
      </c>
      <c r="B17" s="298" t="n"/>
      <c r="C17" s="299" t="n"/>
      <c r="D17" s="216" t="inlineStr">
        <is>
          <t>Port of Loading</t>
        </is>
      </c>
      <c r="E17" s="299" t="n"/>
      <c r="F17" s="215" t="n"/>
      <c r="G17" s="215" t="n"/>
      <c r="H17" s="215" t="n"/>
      <c r="I17" s="215" t="n"/>
      <c r="J17" s="215" t="n"/>
      <c r="K17" s="155" t="n"/>
      <c r="L17" s="214" t="n"/>
      <c r="M17" s="214" t="n"/>
    </row>
    <row r="18">
      <c r="A18" s="214" t="inlineStr">
        <is>
          <t>N/A</t>
        </is>
      </c>
      <c r="B18" s="298" t="n"/>
      <c r="C18" s="299" t="n"/>
      <c r="D18" s="216" t="inlineStr">
        <is>
          <t>Mumbai (BOM)</t>
        </is>
      </c>
      <c r="E18" s="299" t="n"/>
      <c r="F18" s="215" t="n"/>
      <c r="G18" s="215" t="n"/>
      <c r="H18" s="215" t="n"/>
      <c r="I18" s="215" t="n"/>
      <c r="J18" s="215" t="n"/>
      <c r="K18" s="155" t="n"/>
      <c r="L18" s="214" t="n"/>
      <c r="M18" s="214" t="n"/>
    </row>
    <row r="19">
      <c r="A19" s="219">
        <f>INVOICE!A16</f>
        <v/>
      </c>
      <c r="B19" s="298" t="n"/>
      <c r="C19" s="299" t="n"/>
      <c r="D19" s="215" t="inlineStr">
        <is>
          <t>Final Destination: AS PER PACKING LIST</t>
        </is>
      </c>
      <c r="E19" s="299" t="n"/>
      <c r="F19" s="215" t="inlineStr">
        <is>
          <t>Net wt:</t>
        </is>
      </c>
      <c r="G19" s="299" t="n"/>
      <c r="H19" s="215" t="n"/>
      <c r="I19" s="215" t="n"/>
      <c r="J19" s="215" t="inlineStr">
        <is>
          <t>Gross Wt: 300 gms per Package</t>
        </is>
      </c>
      <c r="K19" s="298" t="n"/>
      <c r="L19" s="298" t="n"/>
      <c r="M19" s="299" t="n"/>
    </row>
    <row r="20">
      <c r="A20" s="214" t="n"/>
      <c r="B20" s="298" t="n"/>
      <c r="C20" s="299" t="n"/>
      <c r="D20" s="216" t="n"/>
      <c r="E20" s="299" t="n"/>
      <c r="F20" s="215" t="n"/>
      <c r="G20" s="298" t="n"/>
      <c r="H20" s="298" t="n"/>
      <c r="I20" s="298" t="n"/>
      <c r="J20" s="298" t="n"/>
      <c r="K20" s="298" t="n"/>
      <c r="L20" s="298" t="n"/>
      <c r="M20" s="299" t="n"/>
    </row>
    <row r="21" ht="36" customFormat="1" customHeight="1" s="176">
      <c r="A21" s="56" t="inlineStr">
        <is>
          <t>Sr.No.</t>
        </is>
      </c>
      <c r="B21" s="56" t="inlineStr">
        <is>
          <t>Customer name</t>
        </is>
      </c>
      <c r="C21" s="173" t="inlineStr">
        <is>
          <t>Brand name</t>
        </is>
      </c>
      <c r="D21" s="56" t="inlineStr">
        <is>
          <t>Batch</t>
        </is>
      </c>
      <c r="E21" s="56" t="inlineStr">
        <is>
          <t>Mfg</t>
        </is>
      </c>
      <c r="F21" s="56" t="inlineStr">
        <is>
          <t>Exp</t>
        </is>
      </c>
      <c r="G21" s="56" t="inlineStr">
        <is>
          <t>MANUFACTURER</t>
        </is>
      </c>
      <c r="H21" s="56" t="inlineStr">
        <is>
          <t>Qty in Strip</t>
        </is>
      </c>
      <c r="I21" s="56" t="inlineStr">
        <is>
          <t>USD</t>
        </is>
      </c>
      <c r="J21" s="174" t="inlineStr">
        <is>
          <t>Total
($)</t>
        </is>
      </c>
      <c r="K21" s="175" t="inlineStr">
        <is>
          <t>Total
(Rupees)</t>
        </is>
      </c>
      <c r="L21" s="174" t="inlineStr">
        <is>
          <t>Pills/pieces</t>
        </is>
      </c>
      <c r="M21" s="174" t="inlineStr">
        <is>
          <t>Tracking</t>
        </is>
      </c>
    </row>
    <row r="22" customFormat="1" s="146">
      <c r="A22" s="160" t="n"/>
      <c r="B22" s="200" t="n"/>
      <c r="C22" s="161" t="n"/>
      <c r="D22" s="160" t="n"/>
      <c r="E22" s="162" t="n"/>
      <c r="F22" s="162" t="n"/>
      <c r="G22" s="163" t="n"/>
      <c r="H22" s="163" t="n"/>
      <c r="I22" s="164" t="n"/>
      <c r="J22" s="164" t="n"/>
      <c r="K22" s="165" t="n"/>
      <c r="L22" s="166" t="n"/>
      <c r="M22" s="167" t="n"/>
    </row>
    <row r="23" ht="126" customFormat="1" customHeight="1" s="146">
      <c r="A23" s="143" t="n">
        <v>1</v>
      </c>
      <c r="B23" s="201" t="inlineStr">
        <is>
          <t>J BROOKES 
REDWORTH
GRENADIER RD
ASH VALE 
SURREY 
GU125DT
UK</t>
        </is>
      </c>
      <c r="C23" s="144" t="inlineStr">
        <is>
          <t>ZOPISIGN 10MG</t>
        </is>
      </c>
      <c r="D23" s="144" t="inlineStr">
        <is>
          <t>330-176</t>
        </is>
      </c>
      <c r="E23" s="187" t="n">
        <v>45992</v>
      </c>
      <c r="F23" s="187" t="n">
        <v>47058</v>
      </c>
      <c r="G23" s="144" t="inlineStr">
        <is>
          <t>HAB</t>
        </is>
      </c>
      <c r="H23" s="191" t="n">
        <v>540</v>
      </c>
      <c r="I23" s="191" t="n">
        <v>0.2</v>
      </c>
      <c r="J23" s="143">
        <f>H23*I23</f>
        <v/>
      </c>
      <c r="K23" s="144">
        <f>J23*90.2</f>
        <v/>
      </c>
      <c r="L23" s="144">
        <f>H23*14</f>
        <v/>
      </c>
      <c r="M23" s="145" t="n"/>
    </row>
    <row r="24" customFormat="1" s="146">
      <c r="A24" s="143" t="n"/>
      <c r="B24" s="201" t="n"/>
      <c r="C24" s="144" t="inlineStr">
        <is>
          <t>FILDENA 100</t>
        </is>
      </c>
      <c r="D24" s="144" t="inlineStr">
        <is>
          <t>TS0012502</t>
        </is>
      </c>
      <c r="E24" s="187" t="n">
        <v>45962</v>
      </c>
      <c r="F24" s="187" t="n">
        <v>47027</v>
      </c>
      <c r="G24" s="144" t="inlineStr">
        <is>
          <t>FORTUNE HEALTHCARE</t>
        </is>
      </c>
      <c r="H24" s="191" t="n">
        <v>100</v>
      </c>
      <c r="I24" s="191" t="n">
        <v>0.05</v>
      </c>
      <c r="J24" s="143">
        <f>H24*I24</f>
        <v/>
      </c>
      <c r="K24" s="144">
        <f>J24*90.2</f>
        <v/>
      </c>
      <c r="L24" s="144">
        <f>H24*10</f>
        <v/>
      </c>
      <c r="M24" s="145" t="n"/>
    </row>
    <row r="25" ht="18" customFormat="1" customHeight="1" s="146">
      <c r="A25" s="160" t="n"/>
      <c r="B25" s="202" t="n"/>
      <c r="C25" s="213" t="inlineStr">
        <is>
          <t>TOTAL</t>
        </is>
      </c>
      <c r="D25" s="298" t="n"/>
      <c r="E25" s="298" t="n"/>
      <c r="F25" s="298" t="n"/>
      <c r="G25" s="298" t="n"/>
      <c r="H25" s="298" t="n"/>
      <c r="I25" s="299" t="n"/>
      <c r="J25" s="177">
        <f>SUM(J23:J24)</f>
        <v/>
      </c>
      <c r="K25" s="178">
        <f>SUM(K23:K24)</f>
        <v/>
      </c>
      <c r="L25" s="166" t="n"/>
      <c r="M25" s="167" t="n"/>
    </row>
    <row r="26" customFormat="1" s="146">
      <c r="A26" s="160" t="n"/>
      <c r="B26" s="202" t="n"/>
      <c r="C26" s="163" t="n"/>
      <c r="D26" s="162" t="n"/>
      <c r="E26" s="162" t="n"/>
      <c r="F26" s="162" t="n"/>
      <c r="G26" s="163" t="n"/>
      <c r="H26" s="163" t="n"/>
      <c r="I26" s="164" t="n"/>
      <c r="J26" s="143" t="n"/>
      <c r="K26" s="143" t="n"/>
      <c r="L26" s="143" t="n"/>
      <c r="M26" s="167" t="n"/>
    </row>
    <row r="27" ht="94.5" customFormat="1" customHeight="1" s="146">
      <c r="A27" s="143" t="n">
        <v>2</v>
      </c>
      <c r="B27" s="203" t="inlineStr">
        <is>
          <t>H.BROOKES
15 PINKERTON ROAD
BASINGSTOKE 
RG226RE
UK</t>
        </is>
      </c>
      <c r="C27" s="191" t="inlineStr">
        <is>
          <t>ZOPISIGN 10MG</t>
        </is>
      </c>
      <c r="D27" s="191" t="inlineStr">
        <is>
          <t>330-176</t>
        </is>
      </c>
      <c r="E27" s="187" t="n">
        <v>45992</v>
      </c>
      <c r="F27" s="187" t="n">
        <v>47058</v>
      </c>
      <c r="G27" s="191" t="inlineStr">
        <is>
          <t>HAB</t>
        </is>
      </c>
      <c r="H27" s="191" t="n">
        <v>460</v>
      </c>
      <c r="I27" s="191" t="n">
        <v>0.2</v>
      </c>
      <c r="J27" s="143">
        <f>H27*I27</f>
        <v/>
      </c>
      <c r="K27" s="144">
        <f>J27*90.2</f>
        <v/>
      </c>
      <c r="L27" s="144">
        <f>H27*14</f>
        <v/>
      </c>
      <c r="M27" s="145" t="n"/>
    </row>
    <row r="28" customFormat="1" s="146">
      <c r="A28" s="143" t="n"/>
      <c r="B28" s="203" t="n"/>
      <c r="C28" s="191" t="inlineStr">
        <is>
          <t>CENFORCE-200</t>
        </is>
      </c>
      <c r="D28" s="191" t="inlineStr">
        <is>
          <t>C-410010</t>
        </is>
      </c>
      <c r="E28" s="187" t="n">
        <v>45931</v>
      </c>
      <c r="F28" s="187" t="n">
        <v>46997</v>
      </c>
      <c r="G28" s="191" t="inlineStr">
        <is>
          <t>CENTURION REMEDIES PVT LTD</t>
        </is>
      </c>
      <c r="H28" s="191" t="n">
        <v>100</v>
      </c>
      <c r="I28" s="191" t="n">
        <v>0.2</v>
      </c>
      <c r="J28" s="143">
        <f>H28*I28</f>
        <v/>
      </c>
      <c r="K28" s="144">
        <f>J28*90.2</f>
        <v/>
      </c>
      <c r="L28" s="144">
        <f>H28*10</f>
        <v/>
      </c>
      <c r="M28" s="145" t="n"/>
    </row>
    <row r="29" customFormat="1" s="146">
      <c r="A29" s="143" t="n"/>
      <c r="B29" s="203" t="n"/>
      <c r="C29" s="191" t="inlineStr">
        <is>
          <t>UDIMAX-300</t>
        </is>
      </c>
      <c r="D29" s="191" t="inlineStr">
        <is>
          <t>UT-102502</t>
        </is>
      </c>
      <c r="E29" s="187" t="n">
        <v>45931</v>
      </c>
      <c r="F29" s="187" t="n">
        <v>46631</v>
      </c>
      <c r="G29" s="191" t="inlineStr">
        <is>
          <t>JOHNLEE</t>
        </is>
      </c>
      <c r="H29" s="191" t="n">
        <v>15</v>
      </c>
      <c r="I29" s="191" t="n">
        <v>1.05</v>
      </c>
      <c r="J29" s="143">
        <f>H29*I29</f>
        <v/>
      </c>
      <c r="K29" s="144">
        <f>J29*90.2</f>
        <v/>
      </c>
      <c r="L29" s="144">
        <f>H29*10</f>
        <v/>
      </c>
      <c r="M29" s="145" t="n"/>
    </row>
    <row r="30" ht="18" customFormat="1" customHeight="1" s="146">
      <c r="A30" s="160" t="n"/>
      <c r="B30" s="202" t="n"/>
      <c r="C30" s="213" t="inlineStr">
        <is>
          <t>TOTAL</t>
        </is>
      </c>
      <c r="D30" s="298" t="n"/>
      <c r="E30" s="298" t="n"/>
      <c r="F30" s="298" t="n"/>
      <c r="G30" s="298" t="n"/>
      <c r="H30" s="298" t="n"/>
      <c r="I30" s="299" t="n"/>
      <c r="J30" s="177">
        <f>SUM(J27:J29)</f>
        <v/>
      </c>
      <c r="K30" s="178">
        <f>SUM(K27:K29)</f>
        <v/>
      </c>
      <c r="L30" s="166" t="n"/>
      <c r="M30" s="167" t="n"/>
    </row>
    <row r="31" customFormat="1" s="146">
      <c r="A31" s="160" t="n"/>
      <c r="B31" s="201" t="n"/>
      <c r="C31" s="163" t="n"/>
      <c r="D31" s="162" t="n"/>
      <c r="E31" s="162" t="n"/>
      <c r="F31" s="162" t="n"/>
      <c r="G31" s="163" t="n"/>
      <c r="H31" s="163" t="n"/>
      <c r="I31" s="164" t="n"/>
      <c r="J31" s="143" t="n"/>
      <c r="K31" s="143" t="n"/>
      <c r="L31" s="143" t="n"/>
      <c r="M31" s="167" t="n"/>
    </row>
    <row r="32" ht="63" customFormat="1" customHeight="1" s="146">
      <c r="A32" s="143" t="n">
        <v>3</v>
      </c>
      <c r="B32" s="201" t="inlineStr">
        <is>
          <t>HUBERT TREMBLE
105 FOREST AVE GORDON GA 310331, USA</t>
        </is>
      </c>
      <c r="C32" s="191" t="inlineStr">
        <is>
          <t>CENFORCE-200</t>
        </is>
      </c>
      <c r="D32" s="191" t="inlineStr">
        <is>
          <t>C-410012</t>
        </is>
      </c>
      <c r="E32" s="187" t="n">
        <v>45992</v>
      </c>
      <c r="F32" s="187" t="n">
        <v>47058</v>
      </c>
      <c r="G32" s="191" t="inlineStr">
        <is>
          <t>CENTURION REMEDIES PVT LTD</t>
        </is>
      </c>
      <c r="H32" s="191" t="n">
        <v>100</v>
      </c>
      <c r="I32" s="191" t="n">
        <v>0.2</v>
      </c>
      <c r="J32" s="143">
        <f>H32*I32</f>
        <v/>
      </c>
      <c r="K32" s="144">
        <f>J32*90.2</f>
        <v/>
      </c>
      <c r="L32" s="144">
        <f>H32*10</f>
        <v/>
      </c>
      <c r="M32" s="145" t="n"/>
    </row>
    <row r="33" customFormat="1" s="146">
      <c r="A33" s="143" t="n"/>
      <c r="B33" s="201" t="n"/>
      <c r="C33" s="144" t="inlineStr">
        <is>
          <t>CENFORCE-200</t>
        </is>
      </c>
      <c r="D33" s="144" t="inlineStr">
        <is>
          <t>C-410010</t>
        </is>
      </c>
      <c r="E33" s="187" t="n">
        <v>45931</v>
      </c>
      <c r="F33" s="187" t="n">
        <v>46997</v>
      </c>
      <c r="G33" s="144" t="inlineStr">
        <is>
          <t>CENTURION REMEDIES PVT LTD</t>
        </is>
      </c>
      <c r="H33" s="144" t="n">
        <v>50</v>
      </c>
      <c r="I33" s="144" t="n">
        <v>0.2</v>
      </c>
      <c r="J33" s="143">
        <f>H33*I33</f>
        <v/>
      </c>
      <c r="K33" s="144">
        <f>J33*90.2</f>
        <v/>
      </c>
      <c r="L33" s="144">
        <f>H33*10</f>
        <v/>
      </c>
      <c r="M33" s="145" t="n"/>
    </row>
    <row r="34" ht="18" customFormat="1" customHeight="1" s="146">
      <c r="A34" s="160" t="n"/>
      <c r="B34" s="202" t="n"/>
      <c r="C34" s="213" t="inlineStr">
        <is>
          <t>TOTAL</t>
        </is>
      </c>
      <c r="D34" s="298" t="n"/>
      <c r="E34" s="298" t="n"/>
      <c r="F34" s="298" t="n"/>
      <c r="G34" s="298" t="n"/>
      <c r="H34" s="298" t="n"/>
      <c r="I34" s="299" t="n"/>
      <c r="J34" s="177">
        <f>SUM(J32:J33)</f>
        <v/>
      </c>
      <c r="K34" s="178">
        <f>SUM(K32:K33)</f>
        <v/>
      </c>
      <c r="L34" s="166" t="n"/>
      <c r="M34" s="167" t="n"/>
    </row>
    <row r="35" customFormat="1" s="146">
      <c r="A35" s="160" t="n"/>
      <c r="B35" s="201" t="n"/>
      <c r="C35" s="163" t="n"/>
      <c r="D35" s="162" t="n"/>
      <c r="E35" s="162" t="n"/>
      <c r="F35" s="162" t="n"/>
      <c r="G35" s="163" t="n"/>
      <c r="H35" s="163" t="n"/>
      <c r="I35" s="164" t="n"/>
      <c r="J35" s="143" t="n"/>
      <c r="K35" s="143" t="n"/>
      <c r="L35" s="143" t="n"/>
      <c r="M35" s="167" t="n"/>
    </row>
    <row r="36" ht="78.75" customFormat="1" customHeight="1" s="146">
      <c r="A36" s="143" t="n">
        <v>4</v>
      </c>
      <c r="B36" s="201" t="inlineStr">
        <is>
          <t>SHANNAH LULAY 	
RICHARD-MENGES-STRASSE 9   67659 KAISERSLAUTERN 
GERMANY</t>
        </is>
      </c>
      <c r="C36" s="144" t="inlineStr">
        <is>
          <t>CENFORCE-200</t>
        </is>
      </c>
      <c r="D36" s="144" t="inlineStr">
        <is>
          <t>C-410010</t>
        </is>
      </c>
      <c r="E36" s="187" t="n">
        <v>45931</v>
      </c>
      <c r="F36" s="187" t="n">
        <v>46997</v>
      </c>
      <c r="G36" s="144" t="inlineStr">
        <is>
          <t>CENTURION REMEDIES PVT LTD</t>
        </is>
      </c>
      <c r="H36" s="144" t="n">
        <v>30</v>
      </c>
      <c r="I36" s="144" t="n">
        <v>0.2</v>
      </c>
      <c r="J36" s="143">
        <f>H36*I36</f>
        <v/>
      </c>
      <c r="K36" s="144">
        <f>J36*90.2</f>
        <v/>
      </c>
      <c r="L36" s="144">
        <f>H36*10</f>
        <v/>
      </c>
      <c r="M36" s="145" t="n"/>
    </row>
    <row r="37" ht="18" customFormat="1" customHeight="1" s="146">
      <c r="A37" s="160" t="n"/>
      <c r="B37" s="202" t="n"/>
      <c r="C37" s="213" t="inlineStr">
        <is>
          <t>TOTAL</t>
        </is>
      </c>
      <c r="D37" s="298" t="n"/>
      <c r="E37" s="298" t="n"/>
      <c r="F37" s="298" t="n"/>
      <c r="G37" s="298" t="n"/>
      <c r="H37" s="298" t="n"/>
      <c r="I37" s="299" t="n"/>
      <c r="J37" s="177">
        <f>SUM(J36:J36)</f>
        <v/>
      </c>
      <c r="K37" s="178">
        <f>SUM(K36:K36)</f>
        <v/>
      </c>
      <c r="L37" s="166" t="n"/>
      <c r="M37" s="167" t="n"/>
    </row>
    <row r="38" customFormat="1" s="146">
      <c r="A38" s="160" t="n"/>
      <c r="B38" s="201" t="n"/>
      <c r="C38" s="163" t="n"/>
      <c r="D38" s="162" t="n"/>
      <c r="E38" s="162" t="n"/>
      <c r="F38" s="162" t="n"/>
      <c r="G38" s="163" t="n"/>
      <c r="H38" s="163" t="n"/>
      <c r="I38" s="164" t="n"/>
      <c r="J38" s="143" t="n"/>
      <c r="K38" s="143" t="n"/>
      <c r="L38" s="143" t="n"/>
      <c r="M38" s="167" t="n"/>
    </row>
    <row r="39" ht="78.75" customFormat="1" customHeight="1" s="146">
      <c r="A39" s="160" t="n">
        <v>5</v>
      </c>
      <c r="B39" s="201" t="inlineStr">
        <is>
          <t>MC SEWELL	
765 MCDANIEL ST SW APT 2204 ATLANTA GEORGIA  30310
USA</t>
        </is>
      </c>
      <c r="C39" s="163" t="inlineStr">
        <is>
          <t>CENFORCE-200</t>
        </is>
      </c>
      <c r="D39" s="162" t="inlineStr">
        <is>
          <t>C-410010</t>
        </is>
      </c>
      <c r="E39" s="162" t="n">
        <v>45931</v>
      </c>
      <c r="F39" s="162" t="n">
        <v>46997</v>
      </c>
      <c r="G39" s="163" t="inlineStr">
        <is>
          <t>CENTURION REMEDIES PVT LTD</t>
        </is>
      </c>
      <c r="H39" s="163" t="n">
        <v>130</v>
      </c>
      <c r="I39" s="164" t="n">
        <v>0.2</v>
      </c>
      <c r="J39" s="143">
        <f>H39*I39</f>
        <v/>
      </c>
      <c r="K39" s="144">
        <f>J39*90.2</f>
        <v/>
      </c>
      <c r="L39" s="144">
        <f>H39*10</f>
        <v/>
      </c>
      <c r="M39" s="167" t="n"/>
    </row>
    <row r="40" ht="18" customFormat="1" customHeight="1" s="146">
      <c r="A40" s="160" t="n"/>
      <c r="B40" s="202" t="n"/>
      <c r="C40" s="213" t="n"/>
      <c r="D40" s="298" t="n"/>
      <c r="E40" s="298" t="n"/>
      <c r="F40" s="298" t="n"/>
      <c r="G40" s="298" t="n"/>
      <c r="H40" s="298" t="n"/>
      <c r="I40" s="299" t="n"/>
      <c r="J40" s="177">
        <f>SUM(J39:J39)</f>
        <v/>
      </c>
      <c r="K40" s="178">
        <f>SUM(K39:K39)</f>
        <v/>
      </c>
      <c r="L40" s="166" t="n"/>
      <c r="M40" s="167" t="n"/>
    </row>
    <row r="41" customFormat="1" s="146">
      <c r="A41" s="160" t="n"/>
      <c r="B41" s="201" t="n"/>
      <c r="C41" s="163" t="n"/>
      <c r="D41" s="162" t="n"/>
      <c r="E41" s="162" t="n"/>
      <c r="F41" s="162" t="n"/>
      <c r="G41" s="163" t="n"/>
      <c r="H41" s="163" t="n"/>
      <c r="I41" s="164" t="n"/>
      <c r="J41" s="143" t="n"/>
      <c r="K41" s="143" t="n"/>
      <c r="L41" s="143" t="n"/>
      <c r="M41" s="167" t="n"/>
    </row>
    <row r="42" ht="78.75" customFormat="1" customHeight="1" s="146">
      <c r="A42" s="160" t="n">
        <v>6</v>
      </c>
      <c r="B42" s="201" t="inlineStr">
        <is>
          <t>MICHAEL CAMPBELL	
41 BLUEBELL BANK BARNSLEY SOUTH YORKSHIRE S70 4NJ	
UK</t>
        </is>
      </c>
      <c r="C42" s="163" t="inlineStr">
        <is>
          <t>ZOP 7.5MG</t>
        </is>
      </c>
      <c r="D42" s="162" t="inlineStr">
        <is>
          <t>330-132</t>
        </is>
      </c>
      <c r="E42" s="162" t="n">
        <v>45839</v>
      </c>
      <c r="F42" s="162" t="n">
        <v>46539</v>
      </c>
      <c r="G42" s="163" t="inlineStr">
        <is>
          <t>HAB</t>
        </is>
      </c>
      <c r="H42" s="163" t="n">
        <v>55</v>
      </c>
      <c r="I42" s="164" t="n">
        <v>0.16</v>
      </c>
      <c r="J42" s="143">
        <f>H42*I42</f>
        <v/>
      </c>
      <c r="K42" s="144">
        <f>J42*90.2</f>
        <v/>
      </c>
      <c r="L42" s="144">
        <f>H42*10</f>
        <v/>
      </c>
      <c r="M42" s="167" t="n"/>
    </row>
    <row r="43" customFormat="1" s="146">
      <c r="A43" s="160" t="n"/>
      <c r="B43" s="201" t="n"/>
      <c r="C43" s="144" t="inlineStr">
        <is>
          <t>CENFORCE-200</t>
        </is>
      </c>
      <c r="D43" s="144" t="inlineStr">
        <is>
          <t>C-410010</t>
        </is>
      </c>
      <c r="E43" s="187" t="n">
        <v>45931</v>
      </c>
      <c r="F43" s="187" t="n">
        <v>46997</v>
      </c>
      <c r="G43" s="144" t="inlineStr">
        <is>
          <t>CENTURION REMEDIES PVT LTD</t>
        </is>
      </c>
      <c r="H43" s="144" t="n">
        <v>30</v>
      </c>
      <c r="I43" s="144" t="n">
        <v>0.2</v>
      </c>
      <c r="J43" s="143">
        <f>H43*I43</f>
        <v/>
      </c>
      <c r="K43" s="144">
        <f>J43*90.2</f>
        <v/>
      </c>
      <c r="L43" s="144">
        <f>H43*10</f>
        <v/>
      </c>
      <c r="M43" s="167" t="n"/>
    </row>
    <row r="44" ht="18" customFormat="1" customHeight="1" s="146">
      <c r="A44" s="160" t="n"/>
      <c r="B44" s="202" t="n"/>
      <c r="C44" s="213" t="n"/>
      <c r="D44" s="298" t="n"/>
      <c r="E44" s="298" t="n"/>
      <c r="F44" s="298" t="n"/>
      <c r="G44" s="298" t="n"/>
      <c r="H44" s="298" t="n"/>
      <c r="I44" s="299" t="n"/>
      <c r="J44" s="177">
        <f>SUM(J42:J43)</f>
        <v/>
      </c>
      <c r="K44" s="178">
        <f>SUM(K42:K43)</f>
        <v/>
      </c>
      <c r="L44" s="166" t="n"/>
      <c r="M44" s="167" t="n"/>
    </row>
    <row r="45" customFormat="1" s="146">
      <c r="A45" s="160" t="n"/>
      <c r="B45" s="201" t="n"/>
      <c r="C45" s="163" t="n"/>
      <c r="D45" s="162" t="n"/>
      <c r="E45" s="162" t="n"/>
      <c r="F45" s="162" t="n"/>
      <c r="G45" s="163" t="n"/>
      <c r="H45" s="163" t="n"/>
      <c r="I45" s="164" t="n"/>
      <c r="J45" s="143" t="n"/>
      <c r="K45" s="143" t="n"/>
      <c r="L45" s="143" t="n"/>
      <c r="M45" s="167" t="n"/>
    </row>
    <row r="46" ht="63" customFormat="1" customHeight="1" s="146">
      <c r="A46" s="160" t="n">
        <v>7</v>
      </c>
      <c r="B46" s="201" t="inlineStr">
        <is>
          <t>RUTH BUNTAIN
165 GREENRIGG ROAD G672QB
UK</t>
        </is>
      </c>
      <c r="C46" s="163" t="inlineStr">
        <is>
          <t>ZOP 7.5MG</t>
        </is>
      </c>
      <c r="D46" s="162" t="inlineStr">
        <is>
          <t>330-132</t>
        </is>
      </c>
      <c r="E46" s="162" t="n">
        <v>45839</v>
      </c>
      <c r="F46" s="162" t="n">
        <v>46539</v>
      </c>
      <c r="G46" s="163" t="inlineStr">
        <is>
          <t>HAB</t>
        </is>
      </c>
      <c r="H46" s="163" t="n">
        <v>34</v>
      </c>
      <c r="I46" s="164" t="n">
        <v>0.16</v>
      </c>
      <c r="J46" s="143">
        <f>H46*I46</f>
        <v/>
      </c>
      <c r="K46" s="144">
        <f>J46*90.2</f>
        <v/>
      </c>
      <c r="L46" s="144">
        <f>H46*10</f>
        <v/>
      </c>
      <c r="M46" s="167" t="n"/>
    </row>
    <row r="47" customFormat="1" s="146">
      <c r="A47" s="160" t="n"/>
      <c r="B47" s="201" t="n"/>
      <c r="C47" s="163" t="inlineStr">
        <is>
          <t>NERVIKEM-300</t>
        </is>
      </c>
      <c r="D47" s="162" t="inlineStr">
        <is>
          <t>DC50013</t>
        </is>
      </c>
      <c r="E47" s="162" t="n">
        <v>45901</v>
      </c>
      <c r="F47" s="162" t="n">
        <v>46600</v>
      </c>
      <c r="G47" s="163" t="inlineStr">
        <is>
          <t>ELIKEM</t>
        </is>
      </c>
      <c r="H47" s="163" t="n">
        <v>100</v>
      </c>
      <c r="I47" s="164" t="n">
        <v>0.253</v>
      </c>
      <c r="J47" s="143">
        <f>H47*I47</f>
        <v/>
      </c>
      <c r="K47" s="144">
        <f>J47*90.2</f>
        <v/>
      </c>
      <c r="L47" s="144">
        <f>H47*15</f>
        <v/>
      </c>
      <c r="M47" s="167" t="n"/>
    </row>
    <row r="48" customFormat="1" s="146">
      <c r="A48" s="160" t="n"/>
      <c r="B48" s="201" t="n"/>
      <c r="C48" s="144" t="inlineStr">
        <is>
          <t>CENFORCE-200</t>
        </is>
      </c>
      <c r="D48" s="144" t="inlineStr">
        <is>
          <t>C-410010</t>
        </is>
      </c>
      <c r="E48" s="187" t="n">
        <v>45931</v>
      </c>
      <c r="F48" s="187" t="n">
        <v>46997</v>
      </c>
      <c r="G48" s="144" t="inlineStr">
        <is>
          <t>CENTURION REMEDIES PVT LTD</t>
        </is>
      </c>
      <c r="H48" s="144" t="n">
        <v>50</v>
      </c>
      <c r="I48" s="144" t="n">
        <v>0.2</v>
      </c>
      <c r="J48" s="143">
        <f>H48*I48</f>
        <v/>
      </c>
      <c r="K48" s="144">
        <f>J48*90.2</f>
        <v/>
      </c>
      <c r="L48" s="144">
        <f>H48*10</f>
        <v/>
      </c>
      <c r="M48" s="167" t="n"/>
    </row>
    <row r="49" ht="18" customFormat="1" customHeight="1" s="146">
      <c r="A49" s="160" t="n"/>
      <c r="B49" s="202" t="n"/>
      <c r="C49" s="213" t="n"/>
      <c r="D49" s="298" t="n"/>
      <c r="E49" s="298" t="n"/>
      <c r="F49" s="298" t="n"/>
      <c r="G49" s="298" t="n"/>
      <c r="H49" s="298" t="n"/>
      <c r="I49" s="299" t="n"/>
      <c r="J49" s="177">
        <f>SUM(J46:J48)</f>
        <v/>
      </c>
      <c r="K49" s="178">
        <f>SUM(K46:K48)</f>
        <v/>
      </c>
      <c r="L49" s="166" t="n"/>
      <c r="M49" s="167" t="n"/>
    </row>
    <row r="50" customFormat="1" s="146">
      <c r="A50" s="160" t="n"/>
      <c r="B50" s="201" t="n"/>
      <c r="C50" s="163" t="n"/>
      <c r="D50" s="162" t="n"/>
      <c r="E50" s="162" t="n"/>
      <c r="F50" s="162" t="n"/>
      <c r="G50" s="163" t="n"/>
      <c r="H50" s="163" t="n"/>
      <c r="I50" s="164" t="n"/>
      <c r="J50" s="143" t="n"/>
      <c r="K50" s="143" t="n"/>
      <c r="L50" s="143" t="n"/>
      <c r="M50" s="167" t="n"/>
    </row>
    <row r="51" customFormat="1" s="146">
      <c r="A51" s="160" t="n"/>
      <c r="B51" s="201" t="n"/>
      <c r="C51" s="163" t="n"/>
      <c r="D51" s="162" t="n"/>
      <c r="E51" s="162" t="n"/>
      <c r="F51" s="162" t="n"/>
      <c r="G51" s="163" t="n"/>
      <c r="H51" s="163" t="n"/>
      <c r="I51" s="164" t="n"/>
      <c r="J51" s="143" t="n"/>
      <c r="K51" s="143" t="n"/>
      <c r="L51" s="143" t="n"/>
      <c r="M51" s="167" t="n"/>
    </row>
    <row r="52" customFormat="1" s="146">
      <c r="A52" s="160" t="n"/>
      <c r="B52" s="201" t="n"/>
      <c r="C52" s="163" t="n"/>
      <c r="D52" s="162" t="n"/>
      <c r="E52" s="162" t="n"/>
      <c r="F52" s="162" t="n"/>
      <c r="G52" s="163" t="n"/>
      <c r="H52" s="163" t="n"/>
      <c r="I52" s="164" t="n"/>
      <c r="J52" s="143" t="n"/>
      <c r="K52" s="143" t="n"/>
      <c r="L52" s="143" t="n"/>
      <c r="M52" s="167" t="n"/>
    </row>
    <row r="53" customFormat="1" s="146">
      <c r="A53" s="160" t="n"/>
      <c r="B53" s="201" t="n"/>
      <c r="C53" s="163" t="n"/>
      <c r="D53" s="162" t="n"/>
      <c r="E53" s="162" t="n"/>
      <c r="F53" s="162" t="n"/>
      <c r="G53" s="163" t="n"/>
      <c r="H53" s="163" t="n"/>
      <c r="I53" s="164" t="n"/>
      <c r="J53" s="143" t="n"/>
      <c r="K53" s="143" t="n"/>
      <c r="L53" s="143" t="n"/>
      <c r="M53" s="167" t="n"/>
    </row>
    <row r="54" customFormat="1" s="146">
      <c r="A54" s="160" t="n"/>
      <c r="B54" s="201" t="n"/>
      <c r="C54" s="163" t="n"/>
      <c r="D54" s="162" t="n"/>
      <c r="E54" s="162" t="n"/>
      <c r="F54" s="162" t="n"/>
      <c r="G54" s="163" t="n"/>
      <c r="H54" s="163" t="n"/>
      <c r="I54" s="164" t="n"/>
      <c r="J54" s="143" t="n"/>
      <c r="K54" s="143" t="n"/>
      <c r="L54" s="143" t="n"/>
      <c r="M54" s="167" t="n"/>
    </row>
    <row r="55" customFormat="1" s="146">
      <c r="A55" s="160" t="n"/>
      <c r="B55" s="201" t="n"/>
      <c r="C55" s="163" t="n"/>
      <c r="D55" s="162" t="n"/>
      <c r="E55" s="162" t="n"/>
      <c r="F55" s="162" t="n"/>
      <c r="G55" s="163" t="n"/>
      <c r="H55" s="163" t="n"/>
      <c r="I55" s="164" t="n"/>
      <c r="J55" s="143" t="n"/>
      <c r="K55" s="143" t="n"/>
      <c r="L55" s="143" t="n"/>
      <c r="M55" s="167" t="n"/>
    </row>
    <row r="56" customFormat="1" s="146">
      <c r="A56" s="160" t="n"/>
      <c r="B56" s="202" t="n"/>
      <c r="C56" s="163" t="n"/>
      <c r="D56" s="162" t="n"/>
      <c r="E56" s="162" t="n"/>
      <c r="F56" s="162" t="n"/>
      <c r="G56" s="163" t="n"/>
      <c r="H56" s="163" t="n"/>
      <c r="I56" s="164" t="n"/>
      <c r="J56" s="143" t="n"/>
      <c r="K56" s="143" t="n"/>
      <c r="L56" s="143" t="n"/>
      <c r="M56" s="167" t="n"/>
    </row>
    <row r="57">
      <c r="A57" s="168" t="n"/>
      <c r="B57" s="169" t="n"/>
      <c r="C57" s="169" t="n"/>
      <c r="D57" s="170" t="n"/>
      <c r="E57" s="214" t="n"/>
      <c r="F57" s="214" t="n"/>
      <c r="G57" s="169" t="n"/>
      <c r="H57" s="214" t="inlineStr">
        <is>
          <t>Volumetric weight</t>
        </is>
      </c>
      <c r="I57" s="214" t="n"/>
      <c r="J57" s="214" t="n"/>
      <c r="K57" s="159" t="n"/>
      <c r="L57" s="214" t="n"/>
      <c r="M57" s="214" t="n"/>
    </row>
    <row r="58">
      <c r="A58" s="168" t="n"/>
      <c r="B58" s="169" t="n"/>
      <c r="C58" s="169" t="n"/>
      <c r="D58" s="214" t="n"/>
      <c r="E58" s="214" t="n"/>
      <c r="F58" s="214" t="n"/>
      <c r="G58" s="169" t="n"/>
      <c r="H58" s="214" t="inlineStr">
        <is>
          <t>Actual weight</t>
        </is>
      </c>
      <c r="I58" s="214" t="n"/>
      <c r="J58" s="214" t="n"/>
      <c r="K58" s="159" t="n"/>
      <c r="L58" s="216" t="n">
        <v>250</v>
      </c>
      <c r="M58" s="216" t="inlineStr">
        <is>
          <t>Gms</t>
        </is>
      </c>
    </row>
    <row r="59">
      <c r="A59" s="168" t="n"/>
      <c r="B59" s="168" t="n"/>
      <c r="C59" s="214" t="n"/>
      <c r="D59" s="214" t="n"/>
      <c r="E59" s="214" t="n"/>
      <c r="F59" s="214" t="n"/>
      <c r="G59" s="169" t="n"/>
      <c r="H59" s="214" t="inlineStr">
        <is>
          <t>Total net weight</t>
        </is>
      </c>
      <c r="I59" s="214" t="n"/>
      <c r="J59" s="214" t="n"/>
      <c r="K59" s="159" t="n"/>
      <c r="L59" s="216" t="n">
        <v>250</v>
      </c>
      <c r="M59" s="216" t="inlineStr">
        <is>
          <t>Gms</t>
        </is>
      </c>
    </row>
    <row r="60">
      <c r="A60" s="168" t="inlineStr">
        <is>
          <t xml:space="preserve">                                                                                                                                                                                Signature/Co. Stamp                                                                                                                                                                     </t>
        </is>
      </c>
      <c r="B60" s="168" t="n"/>
      <c r="C60" s="214" t="n"/>
      <c r="D60" s="214" t="n"/>
      <c r="E60" s="214" t="n"/>
      <c r="F60" s="214" t="n"/>
      <c r="G60" s="169" t="n"/>
      <c r="H60" s="214" t="inlineStr">
        <is>
          <t>Total gross weight</t>
        </is>
      </c>
      <c r="I60" s="214" t="n"/>
      <c r="J60" s="214" t="n"/>
      <c r="K60" s="159" t="n"/>
      <c r="L60" s="216" t="n">
        <v>250</v>
      </c>
      <c r="M60" s="216" t="inlineStr">
        <is>
          <t>Gms</t>
        </is>
      </c>
    </row>
    <row r="61" ht="15" customHeight="1">
      <c r="A61" s="168" t="n"/>
      <c r="B61" s="168" t="n"/>
      <c r="C61" s="168" t="n"/>
      <c r="D61" s="168" t="n"/>
      <c r="E61" s="168" t="n"/>
      <c r="F61" s="168" t="n"/>
      <c r="G61" s="168" t="n"/>
      <c r="H61" s="168" t="n"/>
      <c r="I61" s="168" t="n"/>
      <c r="J61" s="168" t="n"/>
      <c r="K61" s="171" t="n"/>
      <c r="L61" s="168" t="n"/>
      <c r="M61" s="168" t="n"/>
    </row>
    <row r="62" ht="15" customHeight="1">
      <c r="A62" s="168" t="n"/>
      <c r="B62" s="168" t="n"/>
      <c r="C62" s="168" t="n"/>
      <c r="D62" s="168" t="n"/>
      <c r="E62" s="168" t="n"/>
      <c r="F62" s="168" t="n"/>
      <c r="G62" s="168" t="n"/>
      <c r="H62" s="168" t="n"/>
      <c r="I62" s="168" t="n"/>
      <c r="J62" s="168" t="n"/>
      <c r="K62" s="171" t="n"/>
      <c r="L62" s="168" t="n"/>
      <c r="M62" s="168" t="n"/>
    </row>
    <row r="63" ht="15" customHeight="1">
      <c r="A63" s="168" t="n"/>
      <c r="B63" s="168" t="n"/>
      <c r="C63" s="168" t="n"/>
      <c r="D63" s="168" t="n"/>
      <c r="E63" s="168" t="n"/>
      <c r="F63" s="168" t="n"/>
      <c r="G63" s="168" t="n"/>
      <c r="H63" s="168" t="n"/>
      <c r="I63" s="168" t="n"/>
      <c r="J63" s="168" t="n"/>
      <c r="K63" s="171" t="n"/>
      <c r="L63" s="168" t="n"/>
      <c r="M63" s="168" t="n"/>
    </row>
    <row r="64" ht="15" customHeight="1">
      <c r="A64" s="168" t="n"/>
      <c r="B64" s="168" t="n"/>
      <c r="C64" s="168" t="n"/>
      <c r="D64" s="168" t="n"/>
      <c r="E64" s="168" t="n"/>
      <c r="F64" s="168" t="n"/>
      <c r="G64" s="168" t="n"/>
      <c r="H64" s="168" t="n"/>
      <c r="I64" s="168" t="n"/>
      <c r="J64" s="168" t="n"/>
      <c r="K64" s="171" t="n"/>
      <c r="L64" s="168" t="n"/>
      <c r="M64" s="168" t="n"/>
    </row>
    <row r="65" ht="15.75" customHeight="1">
      <c r="B65" s="168" t="n"/>
      <c r="C65" s="168" t="n"/>
      <c r="D65" s="168" t="n"/>
      <c r="E65" s="168" t="n"/>
      <c r="F65" s="168" t="n"/>
      <c r="G65" s="168" t="n"/>
      <c r="H65" s="168" t="n"/>
      <c r="I65" s="168" t="n"/>
      <c r="J65" s="168" t="n"/>
      <c r="K65" s="171" t="n"/>
      <c r="L65" s="168" t="n"/>
      <c r="M65" s="168" t="n"/>
    </row>
  </sheetData>
  <mergeCells count="29">
    <mergeCell ref="D20:E20"/>
    <mergeCell ref="L11:M13"/>
    <mergeCell ref="D19:E19"/>
    <mergeCell ref="F11:J13"/>
    <mergeCell ref="F19:G19"/>
    <mergeCell ref="A18:C18"/>
    <mergeCell ref="D15:E16"/>
    <mergeCell ref="A15:C16"/>
    <mergeCell ref="C37:I37"/>
    <mergeCell ref="C49:I49"/>
    <mergeCell ref="F20:M20"/>
    <mergeCell ref="A17:C17"/>
    <mergeCell ref="C34:I34"/>
    <mergeCell ref="C30:I30"/>
    <mergeCell ref="H3:J3"/>
    <mergeCell ref="D17:E17"/>
    <mergeCell ref="A20:C20"/>
    <mergeCell ref="J19:M19"/>
    <mergeCell ref="A19:C19"/>
    <mergeCell ref="F4:M5"/>
    <mergeCell ref="A1:M1"/>
    <mergeCell ref="A2:E2"/>
    <mergeCell ref="F6:M7"/>
    <mergeCell ref="D18:E18"/>
    <mergeCell ref="C25:I25"/>
    <mergeCell ref="C44:I44"/>
    <mergeCell ref="C40:I40"/>
    <mergeCell ref="F2:L2"/>
    <mergeCell ref="F14:M14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tabSelected="1" topLeftCell="A13" zoomScale="85" zoomScaleNormal="85" workbookViewId="0">
      <selection activeCell="L40" sqref="L40"/>
    </sheetView>
  </sheetViews>
  <sheetFormatPr baseColWidth="8" defaultRowHeight="15"/>
  <cols>
    <col width="14.28515625" customWidth="1" min="2" max="2"/>
    <col width="33.7109375" bestFit="1" customWidth="1" min="3" max="3"/>
    <col width="39.5703125" customWidth="1" style="135" min="4" max="4"/>
    <col width="19.140625" bestFit="1" customWidth="1" min="5" max="5"/>
    <col width="13" customWidth="1" min="6" max="6"/>
    <col width="10.140625" customWidth="1" min="7" max="7"/>
    <col width="20.5703125" customWidth="1" min="8" max="8"/>
    <col width="10" customWidth="1" min="9" max="9"/>
    <col width="13.42578125" bestFit="1" customWidth="1" min="11" max="11"/>
    <col width="19.140625" customWidth="1" min="12" max="12"/>
    <col width="9.7109375" bestFit="1" customWidth="1" min="13" max="13"/>
  </cols>
  <sheetData>
    <row r="1" ht="18.75" customHeight="1" thickBot="1">
      <c r="A1" s="307" t="inlineStr">
        <is>
          <t xml:space="preserve">                                                                                                                                                         EXPORT  INVOICE</t>
        </is>
      </c>
      <c r="B1" s="308" t="n"/>
      <c r="C1" s="308" t="n"/>
      <c r="D1" s="308" t="n"/>
      <c r="E1" s="308" t="n"/>
      <c r="F1" s="308" t="n"/>
      <c r="G1" s="308" t="n"/>
      <c r="H1" s="308" t="n"/>
      <c r="I1" s="308" t="n"/>
      <c r="J1" s="308" t="n"/>
      <c r="K1" s="308" t="n"/>
      <c r="L1" s="309" t="n"/>
    </row>
    <row r="2" ht="15.75" customHeight="1" thickBot="1">
      <c r="A2" s="246" t="inlineStr">
        <is>
          <t>Exporter</t>
        </is>
      </c>
      <c r="B2" s="248" t="n"/>
      <c r="C2" s="248" t="n"/>
      <c r="D2" s="248" t="n"/>
      <c r="E2" s="248" t="n"/>
      <c r="F2" s="248" t="n"/>
      <c r="G2" s="248" t="n"/>
      <c r="H2" s="59" t="inlineStr">
        <is>
          <t>Invoice No.</t>
        </is>
      </c>
      <c r="I2" s="310" t="inlineStr">
        <is>
          <t>P/000186</t>
        </is>
      </c>
      <c r="J2" s="311" t="n"/>
      <c r="K2" s="311" t="n"/>
      <c r="L2" s="312" t="n"/>
    </row>
    <row r="3" ht="15.75" customHeight="1">
      <c r="A3" s="60" t="inlineStr">
        <is>
          <t xml:space="preserve">Name </t>
        </is>
      </c>
      <c r="B3" s="61" t="inlineStr">
        <is>
          <t>NARIX PAHRMACEUTICALS PVT LTD</t>
        </is>
      </c>
      <c r="C3" s="62" t="n"/>
      <c r="D3" s="63" t="n"/>
      <c r="E3" s="63" t="n"/>
      <c r="F3" s="64" t="n"/>
      <c r="G3" s="65" t="n"/>
      <c r="H3" s="66" t="inlineStr">
        <is>
          <t>Date</t>
        </is>
      </c>
      <c r="I3" s="310" t="inlineStr">
        <is>
          <t>09/03/2026</t>
        </is>
      </c>
      <c r="J3" s="311" t="n"/>
      <c r="K3" s="311" t="n"/>
      <c r="L3" s="312" t="n"/>
    </row>
    <row r="4" ht="15.75" customHeight="1">
      <c r="A4" s="246" t="inlineStr">
        <is>
          <t>ADD</t>
        </is>
      </c>
      <c r="B4" s="51" t="inlineStr">
        <is>
          <t>404, 4TH FLOOR, BAYVUE EAST</t>
        </is>
      </c>
      <c r="C4" s="68" t="n"/>
      <c r="D4" s="68" t="n"/>
      <c r="E4" s="68" t="n"/>
      <c r="F4" s="68" t="n"/>
      <c r="G4" s="248" t="n"/>
      <c r="H4" s="69" t="n"/>
      <c r="I4" s="248" t="n"/>
      <c r="J4" s="248" t="n"/>
      <c r="K4" s="248" t="n"/>
      <c r="L4" s="249" t="n"/>
    </row>
    <row r="5" ht="15.75" customHeight="1">
      <c r="A5" s="246" t="n"/>
      <c r="B5" s="51" t="inlineStr">
        <is>
          <t>DR. MB VELKAR STREET, KALBADEVI</t>
        </is>
      </c>
      <c r="C5" s="71" t="n"/>
      <c r="D5" s="71" t="n"/>
      <c r="E5" s="71" t="n"/>
      <c r="F5" s="72" t="n"/>
      <c r="G5" s="248" t="n"/>
      <c r="H5" s="73" t="inlineStr">
        <is>
          <t xml:space="preserve">Buyers Reference : </t>
        </is>
      </c>
      <c r="I5" s="74" t="n"/>
      <c r="J5" s="74" t="n"/>
      <c r="K5" s="74" t="n"/>
      <c r="L5" s="75" t="n"/>
    </row>
    <row r="6" ht="15.75" customHeight="1">
      <c r="A6" s="76" t="n"/>
      <c r="B6" s="51" t="inlineStr">
        <is>
          <t>MUMBAI MH 400002</t>
        </is>
      </c>
      <c r="C6" s="71" t="n"/>
      <c r="D6" s="71" t="n"/>
      <c r="E6" s="71" t="n"/>
      <c r="F6" s="72" t="n"/>
      <c r="G6" s="248" t="n"/>
      <c r="H6" s="73" t="inlineStr">
        <is>
          <t xml:space="preserve">Email Order    </t>
        </is>
      </c>
      <c r="I6" s="74" t="n"/>
      <c r="J6" s="74" t="n"/>
      <c r="K6" s="74" t="n"/>
      <c r="L6" s="75" t="n"/>
    </row>
    <row r="7" ht="15.75" customHeight="1">
      <c r="A7" s="76" t="n"/>
      <c r="B7" s="50" t="inlineStr">
        <is>
          <t>INDIA</t>
        </is>
      </c>
      <c r="C7" s="71" t="n"/>
      <c r="D7" s="71" t="n"/>
      <c r="E7" s="71" t="n"/>
      <c r="F7" s="72" t="n"/>
      <c r="G7" s="248" t="n"/>
      <c r="H7" s="77" t="inlineStr">
        <is>
          <t>Other Reference (s)</t>
        </is>
      </c>
      <c r="I7" s="78" t="n"/>
      <c r="J7" s="78" t="n"/>
      <c r="K7" s="78" t="n"/>
      <c r="L7" s="79" t="n"/>
    </row>
    <row r="8" ht="15.75" customHeight="1">
      <c r="A8" s="80" t="inlineStr">
        <is>
          <t>Consignee :</t>
        </is>
      </c>
      <c r="B8" s="81" t="n"/>
      <c r="C8" s="244" t="n"/>
      <c r="D8" s="244" t="n"/>
      <c r="E8" s="244" t="n"/>
      <c r="F8" s="244" t="n"/>
      <c r="G8" s="243" t="n"/>
      <c r="H8" s="74" t="inlineStr">
        <is>
          <t>Buyer(If Other than Consingnee)</t>
        </is>
      </c>
      <c r="I8" s="74" t="n"/>
      <c r="J8" s="74" t="n"/>
      <c r="K8" s="74" t="n"/>
      <c r="L8" s="75" t="n"/>
    </row>
    <row r="9" ht="15.75" customHeight="1">
      <c r="A9" s="84" t="n"/>
      <c r="B9" s="52">
        <f>'PACKING LIST'!B10</f>
        <v/>
      </c>
      <c r="C9" s="72" t="n"/>
      <c r="D9" s="85" t="n"/>
      <c r="E9" s="248" t="n"/>
      <c r="F9" s="248" t="n"/>
      <c r="G9" s="248" t="n"/>
      <c r="H9" s="77" t="inlineStr">
        <is>
          <t>AS PER PACKING</t>
        </is>
      </c>
      <c r="I9" s="78" t="n"/>
      <c r="J9" s="78" t="n"/>
      <c r="K9" s="78" t="n"/>
      <c r="L9" s="79" t="n"/>
    </row>
    <row r="10" ht="15.75" customHeight="1">
      <c r="A10" s="84" t="n"/>
      <c r="B10" s="53" t="n"/>
      <c r="C10" s="86" t="n"/>
      <c r="D10" s="85" t="n"/>
      <c r="E10" s="248" t="n"/>
      <c r="F10" s="248" t="n"/>
      <c r="G10" s="248" t="n"/>
      <c r="H10" s="69" t="inlineStr">
        <is>
          <t xml:space="preserve">Country of Origin: </t>
        </is>
      </c>
      <c r="I10" s="306" t="n"/>
      <c r="J10" s="249" t="inlineStr">
        <is>
          <t>Country of Final Des.</t>
        </is>
      </c>
      <c r="L10" s="313" t="n"/>
    </row>
    <row r="11" ht="15.75" customHeight="1">
      <c r="A11" s="84" t="n"/>
      <c r="B11" s="53" t="n"/>
      <c r="C11" s="72" t="n"/>
      <c r="D11" s="85" t="n"/>
      <c r="E11" s="248" t="n"/>
      <c r="F11" s="248" t="n"/>
      <c r="G11" s="248" t="n"/>
      <c r="H11" s="246" t="inlineStr">
        <is>
          <t>AS PER INV</t>
        </is>
      </c>
      <c r="I11" s="247" t="n"/>
      <c r="J11" s="249" t="inlineStr">
        <is>
          <t>AS PER PKG LIST</t>
        </is>
      </c>
      <c r="L11" s="313" t="n"/>
    </row>
    <row r="12" ht="16.5" customHeight="1" thickBot="1">
      <c r="A12" s="88" t="n"/>
      <c r="B12" s="54" t="n"/>
      <c r="C12" s="89" t="n"/>
      <c r="D12" s="90" t="n"/>
      <c r="E12" s="91" t="n"/>
      <c r="F12" s="91" t="n"/>
      <c r="G12" s="91" t="n"/>
      <c r="H12" s="66" t="n"/>
      <c r="I12" s="299" t="n"/>
      <c r="J12" s="245" t="n"/>
      <c r="K12" s="298" t="n"/>
      <c r="L12" s="314" t="n"/>
    </row>
    <row r="13">
      <c r="A13" s="93" t="inlineStr">
        <is>
          <t>Carriage by Post</t>
        </is>
      </c>
      <c r="B13" s="94" t="n"/>
      <c r="C13" s="78" t="n"/>
      <c r="D13" s="95" t="n"/>
      <c r="E13" s="315" t="inlineStr">
        <is>
          <t xml:space="preserve">Place of Receipt by </t>
        </is>
      </c>
      <c r="F13" s="304" t="n"/>
      <c r="G13" s="96" t="n"/>
      <c r="H13" s="97" t="inlineStr">
        <is>
          <t>Terms of Delivery and payment</t>
        </is>
      </c>
      <c r="I13" s="243" t="n"/>
      <c r="J13" s="243" t="n"/>
      <c r="K13" s="244" t="n"/>
      <c r="L13" s="67" t="inlineStr">
        <is>
          <t>FOB</t>
        </is>
      </c>
    </row>
    <row r="14" ht="15.75" customHeight="1">
      <c r="A14" s="98" t="n"/>
      <c r="B14" s="99" t="n"/>
      <c r="C14" s="74" t="n"/>
      <c r="D14" s="100" t="n"/>
      <c r="E14" s="97" t="inlineStr">
        <is>
          <t>Pre-carrier:</t>
        </is>
      </c>
      <c r="F14" s="243" t="n"/>
      <c r="G14" s="248" t="inlineStr">
        <is>
          <t>AS PER INV</t>
        </is>
      </c>
      <c r="H14" s="97" t="n"/>
      <c r="I14" s="244" t="n"/>
      <c r="J14" s="244" t="n"/>
      <c r="K14" s="244" t="n"/>
      <c r="L14" s="245" t="n"/>
    </row>
    <row r="15">
      <c r="A15" s="246" t="n"/>
      <c r="B15" s="101" t="n"/>
      <c r="C15" s="248" t="n"/>
      <c r="D15" s="247" t="n"/>
      <c r="E15" s="97" t="inlineStr">
        <is>
          <t>Port of Loading:</t>
        </is>
      </c>
      <c r="F15" s="243" t="n"/>
      <c r="G15" s="248" t="inlineStr">
        <is>
          <t>MUMBAI</t>
        </is>
      </c>
      <c r="H15" s="102" t="n"/>
      <c r="I15" s="248" t="n"/>
      <c r="J15" s="248" t="n"/>
      <c r="K15" s="248" t="n"/>
      <c r="L15" s="249" t="n"/>
    </row>
    <row r="16">
      <c r="A16" s="103" t="inlineStr">
        <is>
          <t>Port Of Discharge:  APSO</t>
        </is>
      </c>
      <c r="B16" s="248" t="n"/>
      <c r="C16" s="248" t="n"/>
      <c r="D16" s="247" t="n"/>
      <c r="E16" s="97" t="inlineStr">
        <is>
          <t>Final Destination:</t>
        </is>
      </c>
      <c r="F16" s="243" t="n"/>
      <c r="G16" s="75" t="inlineStr">
        <is>
          <t>AS PER PACKING</t>
        </is>
      </c>
      <c r="H16" s="74" t="n"/>
      <c r="I16" s="74" t="n"/>
      <c r="J16" s="74" t="n"/>
      <c r="K16" s="74" t="n"/>
      <c r="L16" s="75" t="n"/>
    </row>
    <row r="17">
      <c r="A17" s="224" t="inlineStr">
        <is>
          <t xml:space="preserve">Marks &amp; Nos        </t>
        </is>
      </c>
      <c r="B17" s="316" t="inlineStr">
        <is>
          <t xml:space="preserve">                              Description of Goods</t>
        </is>
      </c>
      <c r="C17" s="300" t="n"/>
      <c r="D17" s="300" t="n"/>
      <c r="E17" s="300" t="n"/>
      <c r="F17" s="300" t="n"/>
      <c r="G17" s="300" t="n"/>
      <c r="H17" s="300" t="n"/>
      <c r="I17" s="301" t="n"/>
      <c r="J17" s="317" t="inlineStr">
        <is>
          <t>Price/Rate USD</t>
        </is>
      </c>
      <c r="K17" s="234" t="inlineStr">
        <is>
          <t>Total Amt
($)</t>
        </is>
      </c>
      <c r="L17" s="234" t="inlineStr">
        <is>
          <t>Total Amt
(Rupee)</t>
        </is>
      </c>
    </row>
    <row r="18">
      <c r="A18" s="318" t="n"/>
      <c r="B18" s="302" t="n"/>
      <c r="C18" s="303" t="n"/>
      <c r="D18" s="303" t="n"/>
      <c r="E18" s="303" t="n"/>
      <c r="F18" s="303" t="n"/>
      <c r="G18" s="303" t="n"/>
      <c r="H18" s="303" t="n"/>
      <c r="I18" s="304" t="n"/>
      <c r="J18" s="319" t="n"/>
      <c r="K18" s="320" t="n"/>
      <c r="L18" s="320" t="n"/>
    </row>
    <row r="19" ht="14.25" customHeight="1">
      <c r="A19" s="318" t="n"/>
      <c r="B19" s="189" t="inlineStr">
        <is>
          <t>HSN CODE</t>
        </is>
      </c>
      <c r="C19" s="190" t="inlineStr">
        <is>
          <t>Product Name</t>
        </is>
      </c>
      <c r="D19" s="189" t="inlineStr">
        <is>
          <t>Generic Name</t>
        </is>
      </c>
      <c r="E19" s="189" t="inlineStr">
        <is>
          <t>Batch No.</t>
        </is>
      </c>
      <c r="F19" s="189" t="inlineStr">
        <is>
          <t>Mfd. Date</t>
        </is>
      </c>
      <c r="G19" s="189" t="inlineStr">
        <is>
          <t>Exp.Date</t>
        </is>
      </c>
      <c r="H19" s="189" t="inlineStr">
        <is>
          <t>Mfr</t>
        </is>
      </c>
      <c r="I19" s="189" t="inlineStr">
        <is>
          <t>Unit/ QTY</t>
        </is>
      </c>
      <c r="J19" s="321" t="n"/>
      <c r="K19" s="322" t="n"/>
      <c r="L19" s="322" t="n"/>
    </row>
    <row r="20" customFormat="1" s="105">
      <c r="A20" s="192" t="n">
        <v>1</v>
      </c>
      <c r="B20" s="104" t="n">
        <v>3004</v>
      </c>
      <c r="C20" s="204" t="inlineStr">
        <is>
          <t>CENFORCE-200</t>
        </is>
      </c>
      <c r="D20" s="104" t="inlineStr">
        <is>
          <t>SILDENAFIL CITRATE BP 200MG</t>
        </is>
      </c>
      <c r="E20" s="205" t="inlineStr">
        <is>
          <t>C-410012</t>
        </is>
      </c>
      <c r="F20" s="206" t="n">
        <v>45992</v>
      </c>
      <c r="G20" s="206" t="n">
        <v>47058</v>
      </c>
      <c r="H20" s="207" t="inlineStr">
        <is>
          <t>CENTURION REMEDIES PVT LTD</t>
        </is>
      </c>
      <c r="I20" s="104" t="n">
        <v>100</v>
      </c>
      <c r="J20" s="208" t="n">
        <v>0.2</v>
      </c>
      <c r="K20" s="212">
        <f>J20*I20</f>
        <v/>
      </c>
      <c r="L20" s="49">
        <f>K20*90.2</f>
        <v/>
      </c>
    </row>
    <row r="21" customFormat="1" s="105">
      <c r="A21" s="192" t="n">
        <v>2</v>
      </c>
      <c r="B21" s="104" t="n">
        <v>3004</v>
      </c>
      <c r="C21" s="204" t="inlineStr">
        <is>
          <t>CENFORCE-200</t>
        </is>
      </c>
      <c r="D21" s="104" t="inlineStr">
        <is>
          <t>SILDENAFIL CITRATE BP 200MG</t>
        </is>
      </c>
      <c r="E21" s="209" t="inlineStr">
        <is>
          <t>C-410010</t>
        </is>
      </c>
      <c r="F21" s="206" t="n">
        <v>45931</v>
      </c>
      <c r="G21" s="210" t="n">
        <v>46997</v>
      </c>
      <c r="H21" s="207" t="inlineStr">
        <is>
          <t>CENTURION REMEDIES PVT LTD</t>
        </is>
      </c>
      <c r="I21" s="104" t="n">
        <v>390</v>
      </c>
      <c r="J21" s="208" t="n">
        <v>0.2</v>
      </c>
      <c r="K21" s="212">
        <f>J21*I21</f>
        <v/>
      </c>
      <c r="L21" s="49">
        <f>K21*90.2</f>
        <v/>
      </c>
    </row>
    <row r="22" customFormat="1" s="105">
      <c r="A22" s="192" t="n">
        <v>3</v>
      </c>
      <c r="B22" s="104" t="n">
        <v>3004</v>
      </c>
      <c r="C22" s="204" t="inlineStr">
        <is>
          <t>ZOP 7.5MG</t>
        </is>
      </c>
      <c r="D22" s="104" t="inlineStr">
        <is>
          <t>ZOPICLONE IP 7.5MG</t>
        </is>
      </c>
      <c r="E22" s="205" t="inlineStr">
        <is>
          <t>330-132</t>
        </is>
      </c>
      <c r="F22" s="206" t="n">
        <v>45839</v>
      </c>
      <c r="G22" s="206" t="n">
        <v>46539</v>
      </c>
      <c r="H22" s="207" t="inlineStr">
        <is>
          <t>HAB</t>
        </is>
      </c>
      <c r="I22" s="104" t="n">
        <v>89</v>
      </c>
      <c r="J22" s="208" t="n">
        <v>0.16</v>
      </c>
      <c r="K22" s="212">
        <f>J22*I22</f>
        <v/>
      </c>
      <c r="L22" s="49">
        <f>K22*90.2</f>
        <v/>
      </c>
    </row>
    <row r="23" customFormat="1" s="105">
      <c r="A23" s="192" t="n">
        <v>4</v>
      </c>
      <c r="B23" s="104" t="n">
        <v>3004</v>
      </c>
      <c r="C23" s="204" t="inlineStr">
        <is>
          <t>ZOPISIGN 10MG</t>
        </is>
      </c>
      <c r="D23" s="104" t="inlineStr">
        <is>
          <t>ZOPICLONE 10MG</t>
        </is>
      </c>
      <c r="E23" s="205" t="inlineStr">
        <is>
          <t>330-176</t>
        </is>
      </c>
      <c r="F23" s="206" t="n">
        <v>45992</v>
      </c>
      <c r="G23" s="206" t="n">
        <v>47058</v>
      </c>
      <c r="H23" s="207" t="inlineStr">
        <is>
          <t>HAB</t>
        </is>
      </c>
      <c r="I23" s="104" t="n">
        <v>1000</v>
      </c>
      <c r="J23" s="208" t="n">
        <v>0.2</v>
      </c>
      <c r="K23" s="212">
        <f>J23*I23</f>
        <v/>
      </c>
      <c r="L23" s="49">
        <f>K23*90.2</f>
        <v/>
      </c>
    </row>
    <row r="24" customFormat="1" s="105">
      <c r="A24" s="192" t="n">
        <v>5</v>
      </c>
      <c r="B24" s="104" t="n">
        <v>3004</v>
      </c>
      <c r="C24" s="204" t="inlineStr">
        <is>
          <t>UDIMAX-300</t>
        </is>
      </c>
      <c r="D24" s="104" t="inlineStr">
        <is>
          <t>URSODEOXYCHOLIC IP 300 MG</t>
        </is>
      </c>
      <c r="E24" s="209" t="inlineStr">
        <is>
          <t>UT-102502</t>
        </is>
      </c>
      <c r="F24" s="206" t="n">
        <v>45931</v>
      </c>
      <c r="G24" s="210" t="n">
        <v>46631</v>
      </c>
      <c r="H24" s="207" t="inlineStr">
        <is>
          <t>JOHNLEE</t>
        </is>
      </c>
      <c r="I24" s="104" t="n">
        <v>15</v>
      </c>
      <c r="J24" s="208" t="n">
        <v>1.05</v>
      </c>
      <c r="K24" s="212">
        <f>J24*I24</f>
        <v/>
      </c>
      <c r="L24" s="49">
        <f>K24*90.2</f>
        <v/>
      </c>
    </row>
    <row r="25" customFormat="1" s="105">
      <c r="A25" s="192" t="n">
        <v>7</v>
      </c>
      <c r="B25" s="104" t="n">
        <v>3004</v>
      </c>
      <c r="C25" s="204" t="inlineStr">
        <is>
          <t>FILDENA 100</t>
        </is>
      </c>
      <c r="D25" s="104" t="inlineStr">
        <is>
          <t>SILDENAFIL 100MG</t>
        </is>
      </c>
      <c r="E25" s="209" t="inlineStr">
        <is>
          <t>TS0012502</t>
        </is>
      </c>
      <c r="F25" s="211" t="n">
        <v>45901</v>
      </c>
      <c r="G25" s="206" t="n">
        <v>47027</v>
      </c>
      <c r="H25" s="207" t="inlineStr">
        <is>
          <t>FORTUNE HEALTHCARE</t>
        </is>
      </c>
      <c r="I25" s="104" t="n">
        <v>100</v>
      </c>
      <c r="J25" s="208" t="n">
        <v>0.05</v>
      </c>
      <c r="K25" s="212">
        <f>I25*J25</f>
        <v/>
      </c>
      <c r="L25" s="49">
        <f>K25*90.2</f>
        <v/>
      </c>
    </row>
    <row r="26" customFormat="1" s="105">
      <c r="A26" s="192" t="n">
        <v>8</v>
      </c>
      <c r="B26" s="104" t="n">
        <v>3004</v>
      </c>
      <c r="C26" s="204" t="inlineStr">
        <is>
          <t>NERVIKEM-300</t>
        </is>
      </c>
      <c r="D26" s="104" t="inlineStr">
        <is>
          <t>PREGABALIN 300MG</t>
        </is>
      </c>
      <c r="E26" s="209" t="inlineStr">
        <is>
          <t>DC50013</t>
        </is>
      </c>
      <c r="F26" s="211" t="n">
        <v>45901</v>
      </c>
      <c r="G26" s="210" t="n">
        <v>46600</v>
      </c>
      <c r="H26" s="207" t="inlineStr">
        <is>
          <t>ELIKEM</t>
        </is>
      </c>
      <c r="I26" s="104" t="n">
        <v>100</v>
      </c>
      <c r="J26" s="208" t="n">
        <v>0.253</v>
      </c>
      <c r="K26" s="212">
        <f>I26*J26</f>
        <v/>
      </c>
      <c r="L26" s="49">
        <f>K26*90.2</f>
        <v/>
      </c>
    </row>
    <row r="27" customFormat="1" s="105">
      <c r="A27" s="48" t="n"/>
      <c r="B27" s="104" t="n"/>
      <c r="C27" s="193" t="n"/>
      <c r="D27" s="48" t="n"/>
      <c r="E27" s="194" t="n"/>
      <c r="F27" s="195" t="n"/>
      <c r="G27" s="196" t="n"/>
      <c r="H27" s="48" t="n"/>
      <c r="I27" s="48" t="n"/>
      <c r="J27" s="49" t="n"/>
      <c r="K27" s="212" t="n"/>
      <c r="L27" s="49" t="n"/>
    </row>
    <row r="28" ht="18" customHeight="1">
      <c r="A28" s="179" t="n"/>
      <c r="B28" s="106" t="n"/>
      <c r="C28" s="107" t="inlineStr">
        <is>
          <t>Total article Qty ---  01</t>
        </is>
      </c>
      <c r="D28" s="104" t="n"/>
      <c r="E28" s="108" t="n"/>
      <c r="F28" s="108" t="n"/>
      <c r="G28" s="108" t="n"/>
      <c r="H28" s="107" t="inlineStr">
        <is>
          <t>Total</t>
        </is>
      </c>
      <c r="I28" s="109" t="n"/>
      <c r="J28" s="110" t="n"/>
      <c r="K28" s="180">
        <f>SUM(K20:K27)</f>
        <v/>
      </c>
      <c r="L28" s="181">
        <f>SUM(L20:L27)</f>
        <v/>
      </c>
      <c r="M28" s="188" t="n"/>
    </row>
    <row r="29">
      <c r="A29" s="182" t="n"/>
      <c r="B29" s="111" t="n"/>
      <c r="C29" s="112" t="n"/>
      <c r="D29" s="104" t="n"/>
      <c r="E29" s="112" t="n"/>
      <c r="F29" s="112" t="inlineStr">
        <is>
          <t xml:space="preserve">     </t>
        </is>
      </c>
      <c r="G29" s="112" t="n"/>
      <c r="H29" s="112" t="n"/>
      <c r="I29" s="112" t="n"/>
      <c r="J29" s="112" t="n"/>
      <c r="K29" s="112" t="n"/>
      <c r="L29" s="136" t="n"/>
    </row>
    <row r="30">
      <c r="A30" s="184" t="n"/>
      <c r="B30" s="183" t="n"/>
      <c r="C30" s="137" t="n"/>
      <c r="D30" s="113" t="n"/>
      <c r="E30" s="137" t="n"/>
      <c r="F30" s="186" t="n"/>
      <c r="G30" s="137" t="n"/>
      <c r="H30" s="137" t="n"/>
      <c r="I30" s="137" t="n"/>
      <c r="J30" s="137" t="n"/>
      <c r="K30" s="137" t="n"/>
      <c r="L30" s="119" t="n"/>
    </row>
    <row r="31">
      <c r="A31" s="185" t="n"/>
      <c r="B31" s="115" t="n"/>
      <c r="C31" s="116" t="n"/>
      <c r="D31" s="117" t="n"/>
      <c r="E31" s="116" t="n"/>
      <c r="F31" s="118" t="n"/>
      <c r="G31" s="116" t="n"/>
      <c r="H31" s="116" t="n"/>
      <c r="I31" s="116" t="n"/>
      <c r="J31" s="116" t="n"/>
      <c r="K31" s="116" t="n"/>
      <c r="L31" s="119" t="n"/>
    </row>
    <row r="32">
      <c r="A32" s="114" t="inlineStr">
        <is>
          <t>Bank A/C No.: 9746840215</t>
        </is>
      </c>
      <c r="B32" s="115" t="n"/>
      <c r="C32" s="116" t="n"/>
      <c r="D32" s="117" t="n"/>
      <c r="E32" s="116" t="n"/>
      <c r="F32" s="118" t="n"/>
      <c r="G32" s="116" t="n"/>
      <c r="H32" s="116" t="n"/>
      <c r="I32" s="116" t="n"/>
      <c r="J32" s="116" t="n"/>
      <c r="K32" s="116" t="n"/>
      <c r="L32" s="119" t="n"/>
    </row>
    <row r="33">
      <c r="A33" s="114" t="inlineStr">
        <is>
          <t>Bank Name : KOTAK MAHINDRA BANK</t>
        </is>
      </c>
      <c r="B33" s="115" t="n"/>
      <c r="C33" s="116" t="n"/>
      <c r="D33" s="117" t="n"/>
      <c r="E33" s="116" t="n"/>
      <c r="F33" s="118" t="n"/>
      <c r="G33" s="116" t="n"/>
      <c r="H33" s="120" t="inlineStr">
        <is>
          <t xml:space="preserve">     FOR  NARIX PAHRMA</t>
        </is>
      </c>
      <c r="I33" s="116" t="n"/>
      <c r="J33" s="116" t="n"/>
      <c r="K33" s="116" t="n"/>
      <c r="L33" s="119" t="n"/>
    </row>
    <row r="34">
      <c r="A34" s="114" t="inlineStr">
        <is>
          <t>IFSC Code : KKBK0000673</t>
        </is>
      </c>
      <c r="B34" s="121" t="n"/>
      <c r="C34" s="116" t="n"/>
      <c r="D34" s="117" t="n"/>
      <c r="E34" s="116" t="n"/>
      <c r="F34" s="118" t="n"/>
      <c r="G34" s="116" t="n"/>
      <c r="H34" s="116" t="n"/>
      <c r="I34" s="116" t="n"/>
      <c r="J34" s="116" t="n"/>
      <c r="K34" s="116" t="n"/>
      <c r="L34" s="119" t="n"/>
    </row>
    <row r="35">
      <c r="A35" s="114" t="inlineStr">
        <is>
          <t>BANK AD CODE : 0180175</t>
        </is>
      </c>
      <c r="B35" s="115" t="n"/>
      <c r="C35" s="116" t="n"/>
      <c r="D35" s="122" t="n"/>
      <c r="E35" s="116" t="n"/>
      <c r="F35" s="118" t="n"/>
      <c r="G35" s="116" t="n"/>
      <c r="H35" s="123" t="n"/>
      <c r="I35" s="116" t="n"/>
      <c r="J35" s="116" t="n"/>
      <c r="K35" s="116" t="n"/>
      <c r="L35" s="119" t="n"/>
    </row>
    <row r="36">
      <c r="A36" s="114" t="inlineStr">
        <is>
          <t>GSTIN No : 27AAICN5916B1ZK</t>
        </is>
      </c>
      <c r="B36" s="115" t="n"/>
      <c r="C36" s="116" t="n"/>
      <c r="D36" s="122" t="n"/>
      <c r="E36" s="116" t="n"/>
      <c r="F36" s="118" t="n"/>
      <c r="G36" s="116" t="n"/>
      <c r="H36" s="124" t="inlineStr">
        <is>
          <t xml:space="preserve">     Authorised Singnatory</t>
        </is>
      </c>
      <c r="I36" s="116" t="n"/>
      <c r="J36" s="116" t="n"/>
      <c r="K36" s="116" t="n"/>
      <c r="L36" s="119" t="n"/>
    </row>
    <row r="37">
      <c r="A37" s="114" t="inlineStr">
        <is>
          <t xml:space="preserve">1. Supply meant for export on payment of integrated tax </t>
        </is>
      </c>
      <c r="B37" s="125" t="n"/>
      <c r="C37" s="116" t="n"/>
      <c r="D37" s="122" t="n"/>
      <c r="E37" s="116" t="n"/>
      <c r="F37" s="118" t="n"/>
      <c r="G37" s="116" t="n"/>
      <c r="H37" s="116" t="n"/>
      <c r="I37" s="116" t="n"/>
      <c r="J37" s="116" t="n"/>
      <c r="K37" s="116" t="n"/>
      <c r="L37" s="46" t="n"/>
    </row>
    <row r="38">
      <c r="A38" s="114" t="inlineStr">
        <is>
          <t>2. Supply meant for export under bond or letter of undertaking without payment of integrated tax.</t>
        </is>
      </c>
      <c r="B38" s="123" t="n"/>
      <c r="C38" s="125" t="n"/>
      <c r="D38" s="126" t="n"/>
      <c r="E38" s="125" t="n"/>
      <c r="F38" s="127" t="n"/>
      <c r="G38" s="125" t="n"/>
      <c r="H38" s="123" t="n"/>
      <c r="I38" s="125" t="n"/>
      <c r="J38" s="123" t="n"/>
      <c r="K38" s="123" t="n"/>
      <c r="L38" s="46" t="n"/>
    </row>
    <row r="39">
      <c r="A39" s="114" t="inlineStr">
        <is>
          <t>Declaration:</t>
        </is>
      </c>
      <c r="B39" s="123" t="n"/>
      <c r="C39" s="123" t="n"/>
      <c r="D39" s="117" t="n"/>
      <c r="E39" s="123" t="n"/>
      <c r="F39" s="127" t="n"/>
      <c r="G39" s="125" t="n"/>
      <c r="H39" s="124" t="n"/>
      <c r="I39" s="125" t="n"/>
      <c r="J39" s="128" t="n"/>
      <c r="K39" s="128" t="n"/>
      <c r="L39" s="46" t="n"/>
    </row>
    <row r="40" ht="15.75" customHeight="1" thickBot="1">
      <c r="A40" s="114" t="inlineStr">
        <is>
          <t xml:space="preserve">We declare that this Proforma Invoice shows actual price of </t>
        </is>
      </c>
      <c r="B40" s="130" t="n"/>
      <c r="C40" s="130" t="n"/>
      <c r="D40" s="131" t="n"/>
      <c r="E40" s="130" t="n"/>
      <c r="F40" s="132" t="n"/>
      <c r="G40" s="133" t="n"/>
      <c r="H40" s="134" t="n"/>
      <c r="I40" s="133" t="n"/>
      <c r="J40" s="134" t="n"/>
      <c r="K40" s="134" t="n"/>
      <c r="L40" s="47" t="n"/>
    </row>
    <row r="41" ht="15.75" customHeight="1" thickBot="1">
      <c r="A41" s="129" t="inlineStr">
        <is>
          <t>goods described and that all particulars are true and correct.</t>
        </is>
      </c>
    </row>
  </sheetData>
  <mergeCells count="14">
    <mergeCell ref="J17:J19"/>
    <mergeCell ref="H12:I12"/>
    <mergeCell ref="L17:L19"/>
    <mergeCell ref="J10:L10"/>
    <mergeCell ref="B17:I18"/>
    <mergeCell ref="I3:L3"/>
    <mergeCell ref="H10:I10"/>
    <mergeCell ref="A17:A19"/>
    <mergeCell ref="A1:L1"/>
    <mergeCell ref="K17:K19"/>
    <mergeCell ref="E13:F13"/>
    <mergeCell ref="I2:L2"/>
    <mergeCell ref="J12:L12"/>
    <mergeCell ref="J11:L11"/>
  </mergeCells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5.140625" customWidth="1" min="1" max="1"/>
    <col width="16" customWidth="1" min="2" max="2"/>
    <col width="14" customWidth="1" min="4" max="4"/>
    <col width="11.42578125" customWidth="1" min="5" max="5"/>
    <col width="12.42578125" customWidth="1" min="6" max="6"/>
    <col width="13" customWidth="1" min="7" max="7"/>
    <col width="11.28515625" customWidth="1" min="11" max="11"/>
    <col width="16.28515625" bestFit="1" customWidth="1" min="13" max="13"/>
    <col width="11.42578125" customWidth="1" min="15" max="15"/>
  </cols>
  <sheetData>
    <row r="1">
      <c r="A1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FORM – II</t>
        </is>
      </c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4" t="n"/>
    </row>
    <row r="2">
      <c r="A2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( See regulation 4)</t>
        </is>
      </c>
      <c r="B2" s="6" t="n"/>
      <c r="C2" s="6" t="n"/>
      <c r="D2" s="6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>
      <c r="A3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Postal Bill of Export - II</t>
        </is>
      </c>
      <c r="B3" s="6" t="n"/>
      <c r="C3" s="6" t="n"/>
      <c r="D3" s="6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8" t="n"/>
    </row>
    <row r="4">
      <c r="A4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(To be submitted in duplicate)</t>
        </is>
      </c>
      <c r="B4" s="6" t="n"/>
      <c r="C4" s="6" t="n"/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8" t="n"/>
    </row>
    <row r="5">
      <c r="A5" s="9" t="inlineStr">
        <is>
          <t>Bill of Export No. and date.</t>
        </is>
      </c>
      <c r="B5" s="9" t="inlineStr">
        <is>
          <t>Foreign Post office code</t>
        </is>
      </c>
      <c r="C5" s="9" t="inlineStr">
        <is>
          <t>Name of Exporter</t>
        </is>
      </c>
      <c r="D5" s="9" t="inlineStr">
        <is>
          <t>Address of Exporter</t>
        </is>
      </c>
      <c r="E5" s="299" t="n"/>
      <c r="F5" s="9" t="inlineStr">
        <is>
          <t>IEC</t>
        </is>
      </c>
      <c r="G5" s="9" t="inlineStr">
        <is>
          <t>State code</t>
        </is>
      </c>
      <c r="H5" s="9" t="inlineStr">
        <is>
          <t>GSTIN or as applicable</t>
        </is>
      </c>
      <c r="I5" s="299" t="n"/>
      <c r="J5" s="9" t="inlineStr">
        <is>
          <t>AD code ( if applicable</t>
        </is>
      </c>
      <c r="K5" s="299" t="n"/>
      <c r="L5" s="9" t="inlineStr">
        <is>
          <t>Details of Customs Broker</t>
        </is>
      </c>
      <c r="M5" s="298" t="n"/>
      <c r="N5" s="298" t="n"/>
      <c r="O5" s="299" t="n"/>
    </row>
    <row r="6">
      <c r="A6" s="40" t="n"/>
      <c r="B6" s="40" t="inlineStr">
        <is>
          <t>INBPS5</t>
        </is>
      </c>
      <c r="C6" s="40" t="inlineStr">
        <is>
          <t>NARIX PAHRMA</t>
        </is>
      </c>
      <c r="D6" s="40" t="inlineStr">
        <is>
          <t>404, 4TH FLOOR, BAYVUE EAST
DR. MB VELKAR STREET, KALBADEVI
MUMBAI MH 400002</t>
        </is>
      </c>
      <c r="E6" s="301" t="n"/>
      <c r="F6" s="40" t="inlineStr">
        <is>
          <t>AAICN5916B</t>
        </is>
      </c>
      <c r="G6" s="40" t="inlineStr">
        <is>
          <t>MH 27</t>
        </is>
      </c>
      <c r="H6" s="40" t="inlineStr">
        <is>
          <t>27AAICN5916B1ZK</t>
        </is>
      </c>
      <c r="I6" s="301" t="n"/>
      <c r="J6" s="323" t="inlineStr">
        <is>
          <t>0180175</t>
        </is>
      </c>
      <c r="K6" s="301" t="n"/>
      <c r="L6" s="9" t="inlineStr">
        <is>
          <t xml:space="preserve">License No.   </t>
        </is>
      </c>
      <c r="M6" s="299" t="n"/>
      <c r="N6" s="9" t="inlineStr">
        <is>
          <t>Name and address</t>
        </is>
      </c>
      <c r="O6" s="299" t="n"/>
    </row>
    <row r="7" ht="71.25" customHeight="1">
      <c r="A7" s="321" t="n"/>
      <c r="B7" s="321" t="n"/>
      <c r="C7" s="321" t="n"/>
      <c r="D7" s="302" t="n"/>
      <c r="E7" s="304" t="n"/>
      <c r="F7" s="321" t="n"/>
      <c r="G7" s="321" t="n"/>
      <c r="H7" s="302" t="n"/>
      <c r="I7" s="304" t="n"/>
      <c r="J7" s="302" t="n"/>
      <c r="K7" s="304" t="n"/>
      <c r="L7" s="40" t="inlineStr">
        <is>
          <t xml:space="preserve">CHA:11/2761 PAN-AMHP3708E
</t>
        </is>
      </c>
      <c r="M7" s="299" t="n"/>
      <c r="N7" s="40" t="inlineStr">
        <is>
          <t xml:space="preserve">VEEWIN LOGISTICS C-005 Ground Floor, Jayant Premises,Near Sahar Air Cargo Complex,Andheri (east), Mumbai - 400099.  </t>
        </is>
      </c>
      <c r="O7" s="299" t="n"/>
    </row>
    <row r="8">
      <c r="A8" s="11" t="n"/>
      <c r="B8" s="12" t="n"/>
      <c r="C8" s="12" t="n"/>
      <c r="D8" s="12" t="n"/>
      <c r="E8" s="12" t="n"/>
      <c r="F8" s="13" t="n"/>
      <c r="G8" s="12" t="n"/>
      <c r="H8" s="12" t="n"/>
      <c r="I8" s="12" t="n"/>
      <c r="J8" s="7" t="n"/>
      <c r="K8" s="14" t="n"/>
      <c r="L8" s="14" t="n"/>
      <c r="M8" s="14" t="n"/>
      <c r="N8" s="14" t="n"/>
      <c r="O8" s="15" t="n"/>
    </row>
    <row r="9">
      <c r="A9" s="11" t="n"/>
      <c r="B9" s="12" t="n"/>
      <c r="C9" s="12" t="n"/>
      <c r="D9" s="12" t="n"/>
      <c r="E9" s="12" t="n"/>
      <c r="F9" s="13" t="n"/>
      <c r="G9" s="12" t="n"/>
      <c r="H9" s="12" t="n"/>
      <c r="I9" s="12" t="n"/>
      <c r="J9" s="16" t="n"/>
      <c r="K9" s="14" t="n"/>
      <c r="L9" s="14" t="n"/>
      <c r="M9" s="14" t="n"/>
      <c r="N9" s="14" t="n"/>
      <c r="O9" s="15" t="n"/>
    </row>
    <row r="10">
      <c r="A10" s="11" t="n"/>
      <c r="B10" s="12" t="n"/>
      <c r="C10" s="12" t="n"/>
      <c r="D10" s="12" t="n"/>
      <c r="E10" s="12" t="n"/>
      <c r="F10" s="13" t="n"/>
      <c r="G10" s="12" t="n"/>
      <c r="H10" s="12" t="n"/>
      <c r="I10" s="12" t="n"/>
      <c r="J10" s="16" t="n"/>
      <c r="K10" s="14" t="n"/>
      <c r="L10" s="14" t="n"/>
      <c r="M10" s="14" t="n"/>
      <c r="N10" s="14" t="n"/>
      <c r="O10" s="15" t="n"/>
    </row>
    <row r="11">
      <c r="A11" s="2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Declarations</t>
        </is>
      </c>
      <c r="B11" s="298" t="n"/>
      <c r="C11" s="298" t="n"/>
      <c r="D11" s="298" t="n"/>
      <c r="E11" s="298" t="n"/>
      <c r="F11" s="298" t="n"/>
      <c r="G11" s="298" t="n"/>
      <c r="H11" s="298" t="n"/>
      <c r="I11" s="298" t="n"/>
      <c r="J11" s="298" t="n"/>
      <c r="K11" s="298" t="n"/>
      <c r="L11" s="298" t="n"/>
      <c r="M11" s="299" t="n"/>
      <c r="N11" s="17" t="inlineStr">
        <is>
          <t>Yes/No as appicable</t>
        </is>
      </c>
      <c r="O11" s="4" t="n"/>
    </row>
    <row r="12">
      <c r="A12" s="18" t="n">
        <v>1</v>
      </c>
      <c r="B12" s="19" t="inlineStr">
        <is>
          <t>We declare that we intend to claim rewards under Merchandise Exports from India Scheme(MEIS)(for export through Chennai/Mumbai/Delhi FPO only)</t>
        </is>
      </c>
      <c r="C12" s="20" t="n"/>
      <c r="D12" s="20" t="n"/>
      <c r="E12" s="20" t="n"/>
      <c r="F12" s="20" t="n"/>
      <c r="G12" s="20" t="n"/>
      <c r="H12" s="20" t="n"/>
      <c r="I12" s="20" t="n"/>
      <c r="J12" s="21" t="n"/>
      <c r="K12" s="20" t="n"/>
      <c r="L12" s="20" t="n"/>
      <c r="M12" s="22" t="n"/>
      <c r="N12" s="23" t="inlineStr">
        <is>
          <t>NO</t>
        </is>
      </c>
      <c r="O12" s="22" t="n"/>
    </row>
    <row r="13">
      <c r="A13" s="24" t="n">
        <v>2</v>
      </c>
      <c r="B13" s="19" t="inlineStr">
        <is>
          <t>We Declare that we intend to zero rate our exports under Section 16 of IGST Act.</t>
        </is>
      </c>
      <c r="C13" s="20" t="n"/>
      <c r="D13" s="20" t="n"/>
      <c r="E13" s="20" t="n"/>
      <c r="F13" s="20" t="n"/>
      <c r="G13" s="20" t="n"/>
      <c r="H13" s="20" t="n"/>
      <c r="I13" s="20" t="n"/>
      <c r="J13" s="21" t="n"/>
      <c r="K13" s="20" t="n"/>
      <c r="L13" s="20" t="n"/>
      <c r="M13" s="22" t="n"/>
      <c r="N13" s="23" t="inlineStr">
        <is>
          <t>YES</t>
        </is>
      </c>
      <c r="O13" s="22" t="n"/>
    </row>
    <row r="14">
      <c r="A14" s="25" t="n">
        <v>3</v>
      </c>
      <c r="B14" s="26" t="inlineStr">
        <is>
          <t>We Declare that the goods are exempted under CGST/SGST/UTGST/IGST Acts.</t>
        </is>
      </c>
      <c r="C14" s="3" t="n"/>
      <c r="D14" s="3" t="n"/>
      <c r="E14" s="3" t="n"/>
      <c r="F14" s="3" t="n"/>
      <c r="G14" s="3" t="n"/>
      <c r="H14" s="3" t="n"/>
      <c r="I14" s="3" t="n"/>
      <c r="J14" s="27" t="n"/>
      <c r="K14" s="3" t="n"/>
      <c r="L14" s="3" t="n"/>
      <c r="M14" s="4" t="n"/>
      <c r="N14" s="23" t="inlineStr">
        <is>
          <t>NO</t>
        </is>
      </c>
      <c r="O14" s="4" t="n"/>
    </row>
    <row r="15">
      <c r="A15" s="28" t="inlineStr">
        <is>
          <t xml:space="preserve">We hereby declare that the contents of this postal bill of export are true and correct in every respect.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5" s="29" t="n"/>
      <c r="C15" s="29" t="n"/>
      <c r="D15" s="29" t="n"/>
      <c r="E15" s="29" t="n"/>
      <c r="F15" s="29" t="n"/>
      <c r="G15" s="29" t="n"/>
      <c r="H15" s="29" t="n"/>
      <c r="I15" s="29" t="n"/>
      <c r="J15" s="29" t="n"/>
      <c r="K15" s="3" t="n"/>
      <c r="L15" s="3" t="n"/>
      <c r="M15" s="3" t="n"/>
      <c r="N15" s="3" t="n"/>
      <c r="O15" s="4" t="n"/>
    </row>
    <row r="16">
      <c r="A16" s="30" t="inlineStr">
        <is>
          <t>( Signature of the Exporter/Authorised agent)</t>
        </is>
      </c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7" t="n"/>
      <c r="L16" s="7" t="n"/>
      <c r="M16" s="7" t="n"/>
      <c r="N16" s="7" t="n"/>
      <c r="O16" s="8" t="n"/>
    </row>
    <row r="17">
      <c r="A17" s="26" t="inlineStr">
        <is>
          <t>Examination order and report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4" t="n"/>
    </row>
    <row r="18">
      <c r="A18" s="2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Let Export Order: Signature of officer of Customs along with stamp And date.</t>
        </is>
      </c>
      <c r="B18" s="303" t="n"/>
      <c r="C18" s="303" t="n"/>
      <c r="D18" s="303" t="n"/>
      <c r="E18" s="303" t="n"/>
      <c r="F18" s="303" t="n"/>
      <c r="G18" s="303" t="n"/>
      <c r="H18" s="303" t="n"/>
      <c r="I18" s="303" t="n"/>
      <c r="J18" s="303" t="n"/>
      <c r="K18" s="303" t="n"/>
      <c r="L18" s="303" t="n"/>
      <c r="M18" s="303" t="n"/>
      <c r="N18" s="303" t="n"/>
      <c r="O18" s="304" t="n"/>
    </row>
    <row r="19">
      <c r="A19" s="30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8" t="n"/>
    </row>
    <row r="20">
      <c r="A20" s="29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Details of Parcel</t>
        </is>
      </c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9" t="n"/>
    </row>
    <row r="21">
      <c r="A21" s="291" t="inlineStr">
        <is>
          <t>Consignee details</t>
        </is>
      </c>
      <c r="B21" s="299" t="n"/>
      <c r="C21" s="291" t="inlineStr">
        <is>
          <t>Product Details</t>
        </is>
      </c>
      <c r="D21" s="298" t="n"/>
      <c r="E21" s="298" t="n"/>
      <c r="F21" s="299" t="n"/>
      <c r="G21" s="291" t="inlineStr">
        <is>
          <t>Details of Parcel</t>
        </is>
      </c>
      <c r="H21" s="298" t="n"/>
      <c r="I21" s="299" t="n"/>
      <c r="J21" s="40" t="inlineStr">
        <is>
          <t>Postal tracking number</t>
        </is>
      </c>
      <c r="K21" s="291" t="inlineStr">
        <is>
          <t>Assessable value under section 14 of the Customs Act</t>
        </is>
      </c>
      <c r="L21" s="298" t="n"/>
      <c r="M21" s="298" t="n"/>
      <c r="N21" s="298" t="n"/>
      <c r="O21" s="299" t="n"/>
    </row>
    <row r="22" ht="24" customHeight="1">
      <c r="A22" s="32" t="inlineStr">
        <is>
          <t xml:space="preserve">Name and Address: 
</t>
        </is>
      </c>
      <c r="B22" s="32" t="inlineStr">
        <is>
          <t xml:space="preserve">Country of destination    
  </t>
        </is>
      </c>
      <c r="C22" s="32" t="inlineStr">
        <is>
          <t>Description PHARMACEUTICAL PRODUCT</t>
        </is>
      </c>
      <c r="D22" s="254" t="inlineStr">
        <is>
          <t>CTH</t>
        </is>
      </c>
      <c r="E22" s="36" t="inlineStr">
        <is>
          <t>Quantity</t>
        </is>
      </c>
      <c r="F22" s="299" t="n"/>
      <c r="G22" s="32" t="inlineStr">
        <is>
          <t>Invoice no. and date</t>
        </is>
      </c>
      <c r="H22" s="36" t="inlineStr">
        <is>
          <t>Weight</t>
        </is>
      </c>
      <c r="I22" s="299" t="n"/>
      <c r="J22" s="321" t="n"/>
      <c r="K22" s="9" t="inlineStr">
        <is>
          <t>FOB</t>
        </is>
      </c>
      <c r="L22" s="33" t="inlineStr">
        <is>
          <t>Currency</t>
        </is>
      </c>
      <c r="M22" s="33" t="inlineStr">
        <is>
          <t>Exchange rate</t>
        </is>
      </c>
      <c r="N22" s="9" t="inlineStr">
        <is>
          <t>Amount in INR</t>
        </is>
      </c>
      <c r="O22" s="299" t="n"/>
    </row>
    <row r="23" ht="36" customHeight="1">
      <c r="A23" s="319" t="n"/>
      <c r="B23" s="319" t="n"/>
      <c r="C23" s="319" t="n"/>
      <c r="D23" s="36" t="n">
        <v>30049099</v>
      </c>
      <c r="E23" s="34" t="inlineStr">
        <is>
          <t>Unit ( pieces, liters, kgs, meters)</t>
        </is>
      </c>
      <c r="F23" s="35" t="inlineStr">
        <is>
          <t>Number</t>
        </is>
      </c>
      <c r="G23" s="40">
        <f>_xlfn.TEXTJOIN(" ",TRUE, INVOICE!I2,INVOICE!I3)</f>
        <v/>
      </c>
      <c r="H23" s="36" t="inlineStr">
        <is>
          <t>Gross</t>
        </is>
      </c>
      <c r="I23" s="36" t="inlineStr">
        <is>
          <t>Net</t>
        </is>
      </c>
      <c r="J23" s="37" t="n"/>
      <c r="K23" s="324" t="n"/>
      <c r="L23" s="36" t="inlineStr">
        <is>
          <t>USD</t>
        </is>
      </c>
      <c r="M23" s="325" t="n">
        <v>90.2</v>
      </c>
      <c r="N23" s="326">
        <f>M23*INVOICE!K28</f>
        <v/>
      </c>
      <c r="O23" s="301" t="n"/>
    </row>
    <row r="24" ht="60.75" customHeight="1">
      <c r="A24" s="321" t="n"/>
      <c r="B24" s="321" t="n"/>
      <c r="C24" s="321" t="n"/>
      <c r="D24" s="321" t="n"/>
      <c r="E24" s="35" t="inlineStr">
        <is>
          <t>AS PER ATTACHED</t>
        </is>
      </c>
      <c r="F24" s="38" t="n"/>
      <c r="G24" s="321" t="n"/>
      <c r="H24" s="39" t="inlineStr">
        <is>
          <t>AS PER ANNEXURE ATTACHED</t>
        </is>
      </c>
      <c r="I24" s="39" t="inlineStr">
        <is>
          <t>RM-   CM-     LP-     EMS-</t>
        </is>
      </c>
      <c r="J24" s="40" t="inlineStr">
        <is>
          <t>AS PER ANNEXUREATTACHED</t>
        </is>
      </c>
      <c r="K24" s="321" t="n"/>
      <c r="L24" s="321" t="n"/>
      <c r="M24" s="321" t="n"/>
      <c r="N24" s="302" t="n"/>
      <c r="O24" s="304" t="n"/>
    </row>
    <row r="25">
      <c r="A25" s="30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8" t="n"/>
    </row>
    <row r="26">
      <c r="A26" s="19" t="inlineStr">
        <is>
          <t>Details of Tax invoice or commercial invoice( whichever applicable)</t>
        </is>
      </c>
      <c r="B26" s="20" t="n"/>
      <c r="C26" s="20" t="n"/>
      <c r="D26" s="20" t="n"/>
      <c r="E26" s="291" t="inlineStr">
        <is>
          <t>Details of Duty/tax</t>
        </is>
      </c>
      <c r="F26" s="298" t="n"/>
      <c r="G26" s="298" t="n"/>
      <c r="H26" s="298" t="n"/>
      <c r="I26" s="298" t="n"/>
      <c r="J26" s="298" t="n"/>
      <c r="K26" s="298" t="n"/>
      <c r="L26" s="298" t="n"/>
      <c r="M26" s="298" t="n"/>
      <c r="N26" s="298" t="n"/>
      <c r="O26" s="299" t="n"/>
    </row>
    <row r="27">
      <c r="A27" s="291" t="inlineStr">
        <is>
          <t xml:space="preserve">H.S.code </t>
        </is>
      </c>
      <c r="B27" s="291" t="inlineStr">
        <is>
          <t>Invoice details</t>
        </is>
      </c>
      <c r="C27" s="299" t="n"/>
      <c r="D27" s="291" t="inlineStr">
        <is>
          <t>Value</t>
        </is>
      </c>
      <c r="E27" s="291" t="inlineStr">
        <is>
          <t>Customs Duties</t>
        </is>
      </c>
      <c r="F27" s="298" t="n"/>
      <c r="G27" s="298" t="n"/>
      <c r="H27" s="299" t="n"/>
      <c r="I27" s="292" t="inlineStr">
        <is>
          <t>GST details</t>
        </is>
      </c>
      <c r="J27" s="300" t="n"/>
      <c r="K27" s="300" t="n"/>
      <c r="L27" s="300" t="n"/>
      <c r="M27" s="300" t="n"/>
      <c r="N27" s="291" t="inlineStr">
        <is>
          <t>Total</t>
        </is>
      </c>
      <c r="O27" s="299" t="n"/>
    </row>
    <row r="28" ht="36.75" customHeight="1">
      <c r="A28" s="36" t="n">
        <v>30049099</v>
      </c>
      <c r="B28" s="42" t="inlineStr">
        <is>
          <t>invoice no and date</t>
        </is>
      </c>
      <c r="C28" s="39" t="inlineStr">
        <is>
          <t>Sl No of item in invoice</t>
        </is>
      </c>
      <c r="D28" s="327" t="n"/>
      <c r="E28" s="9" t="inlineStr">
        <is>
          <t>Export duty</t>
        </is>
      </c>
      <c r="F28" s="299" t="n"/>
      <c r="G28" s="9" t="inlineStr">
        <is>
          <t>Cess</t>
        </is>
      </c>
      <c r="H28" s="299" t="n"/>
      <c r="I28" s="9" t="inlineStr">
        <is>
          <t>IGST ( if applicable)</t>
        </is>
      </c>
      <c r="J28" s="299" t="n"/>
      <c r="K28" s="32" t="inlineStr">
        <is>
          <t>Compensation cess ( if applicable)</t>
        </is>
      </c>
      <c r="L28" s="299" t="n"/>
      <c r="M28" s="32" t="inlineStr">
        <is>
          <t>LUT/bond details (if applicable</t>
        </is>
      </c>
      <c r="N28" s="36" t="inlineStr">
        <is>
          <t>duty</t>
        </is>
      </c>
      <c r="O28" s="36" t="inlineStr">
        <is>
          <t>cess</t>
        </is>
      </c>
    </row>
    <row r="29" ht="15" customHeight="1">
      <c r="A29" s="319" t="n"/>
      <c r="B29" s="40">
        <f>G23</f>
        <v/>
      </c>
      <c r="C29" s="291" t="n">
        <v>0</v>
      </c>
      <c r="D29" s="319" t="n"/>
      <c r="E29" s="291" t="inlineStr">
        <is>
          <t>rate</t>
        </is>
      </c>
      <c r="F29" s="291" t="inlineStr">
        <is>
          <t>amount</t>
        </is>
      </c>
      <c r="G29" s="291" t="inlineStr">
        <is>
          <t>rate</t>
        </is>
      </c>
      <c r="H29" s="291" t="inlineStr">
        <is>
          <t>amount</t>
        </is>
      </c>
      <c r="I29" s="291" t="inlineStr">
        <is>
          <t>rate</t>
        </is>
      </c>
      <c r="J29" s="291" t="inlineStr">
        <is>
          <t>amount</t>
        </is>
      </c>
      <c r="K29" s="291" t="inlineStr">
        <is>
          <t xml:space="preserve">rate </t>
        </is>
      </c>
      <c r="L29" s="291" t="inlineStr">
        <is>
          <t>amount</t>
        </is>
      </c>
      <c r="M29" s="321" t="n"/>
      <c r="N29" s="321" t="n"/>
      <c r="O29" s="321" t="n"/>
    </row>
    <row r="30">
      <c r="A30" s="321" t="n"/>
      <c r="B30" s="321" t="n"/>
      <c r="C30" s="321" t="n"/>
      <c r="D30" s="321" t="n"/>
      <c r="E30" s="291" t="n">
        <v>0</v>
      </c>
      <c r="F30" s="291" t="n">
        <v>0</v>
      </c>
      <c r="G30" s="291" t="n">
        <v>0</v>
      </c>
      <c r="H30" s="291" t="n">
        <v>0</v>
      </c>
      <c r="I30" s="291" t="n">
        <v>0</v>
      </c>
      <c r="J30" s="291" t="n">
        <v>0</v>
      </c>
      <c r="K30" s="291" t="n">
        <v>0</v>
      </c>
      <c r="L30" s="291" t="n">
        <v>0</v>
      </c>
      <c r="M30" s="44" t="inlineStr">
        <is>
          <t>AD270426006539X</t>
        </is>
      </c>
      <c r="N30" s="45" t="n"/>
      <c r="O30" s="284" t="n">
        <v>0</v>
      </c>
    </row>
  </sheetData>
  <mergeCells count="52">
    <mergeCell ref="L7:M7"/>
    <mergeCell ref="G23:G24"/>
    <mergeCell ref="J5:K5"/>
    <mergeCell ref="N7:O7"/>
    <mergeCell ref="N23:O24"/>
    <mergeCell ref="C29:C30"/>
    <mergeCell ref="I27:M27"/>
    <mergeCell ref="A6:A7"/>
    <mergeCell ref="B27:C27"/>
    <mergeCell ref="A18:O18"/>
    <mergeCell ref="N22:O22"/>
    <mergeCell ref="A22:A24"/>
    <mergeCell ref="K21:O21"/>
    <mergeCell ref="B29:B30"/>
    <mergeCell ref="A28:A30"/>
    <mergeCell ref="E28:F28"/>
    <mergeCell ref="G6:G7"/>
    <mergeCell ref="G28:H28"/>
    <mergeCell ref="M28:M29"/>
    <mergeCell ref="L23:L24"/>
    <mergeCell ref="I28:J28"/>
    <mergeCell ref="B6:B7"/>
    <mergeCell ref="A11:M11"/>
    <mergeCell ref="B22:B24"/>
    <mergeCell ref="A21:B21"/>
    <mergeCell ref="A20:O20"/>
    <mergeCell ref="K23:K24"/>
    <mergeCell ref="D6:E7"/>
    <mergeCell ref="N28:N29"/>
    <mergeCell ref="J21:J22"/>
    <mergeCell ref="H22:I22"/>
    <mergeCell ref="G21:I21"/>
    <mergeCell ref="M23:M24"/>
    <mergeCell ref="E26:O26"/>
    <mergeCell ref="L5:O5"/>
    <mergeCell ref="L6:M6"/>
    <mergeCell ref="H6:I7"/>
    <mergeCell ref="N6:O6"/>
    <mergeCell ref="J6:K7"/>
    <mergeCell ref="D5:E5"/>
    <mergeCell ref="K28:L28"/>
    <mergeCell ref="C21:F21"/>
    <mergeCell ref="D23:D24"/>
    <mergeCell ref="H5:I5"/>
    <mergeCell ref="E22:F22"/>
    <mergeCell ref="O28:O29"/>
    <mergeCell ref="N27:O27"/>
    <mergeCell ref="C6:C7"/>
    <mergeCell ref="C22:C24"/>
    <mergeCell ref="E27:H27"/>
    <mergeCell ref="F6:F7"/>
    <mergeCell ref="D28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2024-10-22T06:05:14Z</dcterms:created>
  <dcterms:modified xmlns:dcterms="http://purl.org/dc/terms/" xmlns:xsi="http://www.w3.org/2001/XMLSchema-instance" xsi:type="dcterms:W3CDTF">2026-04-03T11:30:05Z</dcterms:modified>
  <cp:lastModifiedBy>Naman Katariya</cp:lastModifiedBy>
</cp:coreProperties>
</file>